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Weekly Summary" sheetId="3" state="visible" r:id="rId3"/>
    <sheet xmlns:r="http://schemas.openxmlformats.org/officeDocument/2006/relationships" name="Verdi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₹#,##0.00"/>
    <numFmt numFmtId="166" formatCode="₹#,##0"/>
    <numFmt numFmtId="167" formatCode="₹#,##0;(₹#,##0);-"/>
    <numFmt numFmtId="168" formatCode="0.00%;(0.00%);-"/>
    <numFmt numFmtId="169" formatCode="0.0&quot;R&quot;"/>
    <numFmt numFmtId="170" formatCode="0.0%"/>
  </numFmts>
  <fonts count="15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color rgb="00555555"/>
      <sz val="11"/>
    </font>
    <font>
      <name val="Arial"/>
      <color rgb="00000000"/>
      <sz val="11"/>
    </font>
    <font>
      <name val="Arial"/>
      <b val="1"/>
      <color rgb="001F3A5F"/>
      <sz val="13"/>
    </font>
    <font>
      <name val="Arial"/>
      <color rgb="000000FF"/>
      <sz val="11"/>
    </font>
    <font>
      <name val="Arial"/>
      <b val="1"/>
      <color rgb="00B22222"/>
      <sz val="13"/>
    </font>
    <font>
      <name val="Arial"/>
      <b val="1"/>
      <color rgb="00FFFFFF"/>
      <sz val="11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1F3A5F"/>
      <sz val="18"/>
    </font>
    <font>
      <name val="Arial"/>
      <b val="1"/>
      <sz val="11"/>
    </font>
    <font>
      <name val="Arial"/>
      <b val="1"/>
      <color rgb="001F3A5F"/>
      <sz val="14"/>
    </font>
    <font>
      <name val="Arial"/>
      <sz val="11"/>
    </font>
    <font>
      <name val="Arial"/>
      <i val="1"/>
      <color rgb="00B22222"/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164" fontId="8" fillId="0" borderId="0" pivotButton="0" quotePrefix="0" xfId="0"/>
    <xf numFmtId="165" fontId="8" fillId="0" borderId="0" pivotButton="0" quotePrefix="0" xfId="0"/>
    <xf numFmtId="166" fontId="8" fillId="0" borderId="0" pivotButton="0" quotePrefix="0" xfId="0"/>
    <xf numFmtId="2" fontId="9" fillId="0" borderId="0" pivotButton="0" quotePrefix="0" xfId="0"/>
    <xf numFmtId="10" fontId="9" fillId="0" borderId="0" pivotButton="0" quotePrefix="0" xfId="0"/>
    <xf numFmtId="166" fontId="9" fillId="0" borderId="0" pivotButton="0" quotePrefix="0" xfId="0"/>
    <xf numFmtId="0" fontId="9" fillId="0" borderId="0" pivotButton="0" quotePrefix="0" xfId="0"/>
    <xf numFmtId="167" fontId="9" fillId="0" borderId="0" pivotButton="0" quotePrefix="0" xfId="0"/>
    <xf numFmtId="168" fontId="9" fillId="0" borderId="0" pivotButton="0" quotePrefix="0" xfId="0"/>
    <xf numFmtId="169" fontId="9" fillId="0" borderId="0" pivotButton="0" quotePrefix="0" xfId="0"/>
    <xf numFmtId="165" fontId="0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10" fillId="0" borderId="0" pivotButton="0" quotePrefix="0" xfId="0"/>
    <xf numFmtId="0" fontId="7" fillId="2" borderId="1" applyAlignment="1" pivotButton="0" quotePrefix="0" xfId="0">
      <alignment horizontal="center"/>
    </xf>
    <xf numFmtId="0" fontId="11" fillId="0" borderId="1" pivotButton="0" quotePrefix="0" xfId="0"/>
    <xf numFmtId="167" fontId="9" fillId="0" borderId="1" pivotButton="0" quotePrefix="0" xfId="0"/>
    <xf numFmtId="0" fontId="9" fillId="0" borderId="1" pivotButton="0" quotePrefix="0" xfId="0"/>
    <xf numFmtId="168" fontId="9" fillId="0" borderId="1" pivotButton="0" quotePrefix="0" xfId="0"/>
    <xf numFmtId="170" fontId="9" fillId="0" borderId="1" pivotButton="0" quotePrefix="0" xfId="0"/>
    <xf numFmtId="10" fontId="9" fillId="0" borderId="1" pivotButton="0" quotePrefix="0" xfId="0"/>
    <xf numFmtId="169" fontId="9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V5 PAPER TRADE TRACKER</t>
        </is>
      </c>
    </row>
    <row r="2">
      <c r="A2" s="2" t="inlineStr">
        <is>
          <t>8-week evaluation before risking real capital</t>
        </is>
      </c>
    </row>
    <row r="3">
      <c r="A3" s="3" t="inlineStr"/>
    </row>
    <row r="4">
      <c r="A4" s="4" t="inlineStr">
        <is>
          <t>HOW TO USE THIS WORKBOOK</t>
        </is>
      </c>
    </row>
    <row r="5">
      <c r="A5" s="3" t="inlineStr"/>
    </row>
    <row r="6">
      <c r="A6" s="3" t="inlineStr">
        <is>
          <t>1. Every Monday: receive V5 signal on Telegram (15 picks).</t>
        </is>
      </c>
    </row>
    <row r="7">
      <c r="A7" s="3" t="inlineStr">
        <is>
          <t>2. Open 'Trade Log' tab. Add ONE row per pick with the signal details.</t>
        </is>
      </c>
    </row>
    <row r="8">
      <c r="A8" s="3" t="inlineStr">
        <is>
          <t>3. Same day or Tuesday open: paper-buy at the actual market open (note the price).</t>
        </is>
      </c>
    </row>
    <row r="9">
      <c r="A9" s="3" t="inlineStr">
        <is>
          <t>4. Each Saturday: review the week. Update Exit columns for any positions that hit stops or completed 5 trading days.</t>
        </is>
      </c>
    </row>
    <row r="10">
      <c r="A10" s="3" t="inlineStr">
        <is>
          <t>5. Open 'Weekly Summary' tab. The weekly stats auto-calculate from the Trade Log.</t>
        </is>
      </c>
    </row>
    <row r="11">
      <c r="A11" s="3" t="inlineStr">
        <is>
          <t>6. After 8 weeks: open 'Verdict' tab. Read the go/no-go signal.</t>
        </is>
      </c>
    </row>
    <row r="12">
      <c r="A12" s="3" t="inlineStr"/>
    </row>
    <row r="13">
      <c r="A13" s="4" t="inlineStr">
        <is>
          <t>COLUMN COLOR CODE (industry standard)</t>
        </is>
      </c>
    </row>
    <row r="14">
      <c r="A14" s="3" t="inlineStr"/>
    </row>
    <row r="15">
      <c r="A15" s="5" t="inlineStr">
        <is>
          <t>BLUE text = manual input (you fill in)</t>
        </is>
      </c>
    </row>
    <row r="16">
      <c r="A16" s="3" t="inlineStr">
        <is>
          <t>BLACK text = auto-calculated formula</t>
        </is>
      </c>
    </row>
    <row r="17">
      <c r="A17" s="3" t="inlineStr"/>
    </row>
    <row r="18">
      <c r="A18" s="6" t="inlineStr">
        <is>
          <t>HARD RULES — do not break</t>
        </is>
      </c>
    </row>
    <row r="19">
      <c r="A19" s="3" t="inlineStr"/>
    </row>
    <row r="20">
      <c r="A20" s="3" t="inlineStr">
        <is>
          <t>• Do NOT trade real money during the 8-week paper period — ZERO exceptions.</t>
        </is>
      </c>
    </row>
    <row r="21">
      <c r="A21" s="3" t="inlineStr">
        <is>
          <t>• Use the ACTUAL next-day open price from your broker app, not the signal price.</t>
        </is>
      </c>
    </row>
    <row r="22">
      <c r="A22" s="3" t="inlineStr">
        <is>
          <t>• Stop loss is a daily intraday check: if Low ≤ Stop, mark exit at Stop price.</t>
        </is>
      </c>
    </row>
    <row r="23">
      <c r="A23" s="3" t="inlineStr">
        <is>
          <t>• Time stop: if held 25 trading days (~5 weekly rebalances), exit at next open.</t>
        </is>
      </c>
    </row>
    <row r="24">
      <c r="A24" s="3" t="inlineStr">
        <is>
          <t>• Don't 'skip' picks you don't like. Take ALL 15 every week. We're testing the system, not your discretion.</t>
        </is>
      </c>
    </row>
    <row r="25">
      <c r="A25" s="3" t="inlineStr"/>
    </row>
    <row r="26">
      <c r="A26" s="4" t="inlineStr">
        <is>
          <t>WHAT TO LOOK AT IN WEEK 8</t>
        </is>
      </c>
    </row>
    <row r="27">
      <c r="A27" s="3" t="inlineStr"/>
    </row>
    <row r="28">
      <c r="A28" s="3" t="inlineStr">
        <is>
          <t>→ Total return vs Nifty 500 TRI: if V5 &lt; benchmark by 3+ percentage points → DO NOT DEPLOY CAPITAL</t>
        </is>
      </c>
    </row>
    <row r="29">
      <c r="A29" s="3" t="inlineStr">
        <is>
          <t>→ Max drawdown: should be &lt; 12%. If higher, stops aren't protecting capital</t>
        </is>
      </c>
    </row>
    <row r="30">
      <c r="A30" s="3" t="inlineStr">
        <is>
          <t>→ Win rate (trades closed at profit): should be ≥ 45%. If 30-44%, edge is marginal</t>
        </is>
      </c>
    </row>
    <row r="31">
      <c r="A31" s="3" t="inlineStr">
        <is>
          <t>→ Stop hit rate: 20-50% is healthy. &gt;60% means entries are bad</t>
        </is>
      </c>
    </row>
    <row r="32">
      <c r="A32" s="3" t="inlineStr">
        <is>
          <t>→ Quality of fills: if avg slippage &gt; 0.4% per side, NSE-only orders aren't working — consider limit orders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6" customWidth="1" min="3" max="3"/>
    <col width="11" customWidth="1" min="4" max="4"/>
    <col width="11" customWidth="1" min="5" max="5"/>
    <col width="12" customWidth="1" min="6" max="6"/>
    <col width="12" customWidth="1" min="7" max="7"/>
    <col width="8" customWidth="1" min="8" max="8"/>
    <col width="9" customWidth="1" min="9" max="9"/>
    <col width="11" customWidth="1" min="10" max="10"/>
    <col width="11" customWidth="1" min="11" max="11"/>
    <col width="12" customWidth="1" min="12" max="12"/>
    <col width="11" customWidth="1" min="13" max="13"/>
    <col width="9" customWidth="1" min="14" max="14"/>
    <col width="13" customWidth="1" min="15" max="15"/>
    <col width="9" customWidth="1" min="16" max="16"/>
    <col width="9" customWidth="1" min="17" max="17"/>
    <col width="10" customWidth="1" min="18" max="18"/>
  </cols>
  <sheetData>
    <row r="1" ht="35" customHeight="1">
      <c r="A1" s="7" t="inlineStr">
        <is>
          <t>Signal Date</t>
        </is>
      </c>
      <c r="B1" s="7" t="inlineStr">
        <is>
          <t>Symbol</t>
        </is>
      </c>
      <c r="C1" s="7" t="inlineStr">
        <is>
          <t>Conv</t>
        </is>
      </c>
      <c r="D1" s="7" t="inlineStr">
        <is>
          <t>Signal Price</t>
        </is>
      </c>
      <c r="E1" s="7" t="inlineStr">
        <is>
          <t>Stop Price</t>
        </is>
      </c>
      <c r="F1" s="7" t="inlineStr">
        <is>
          <t>Suggested Size INR</t>
        </is>
      </c>
      <c r="G1" s="7" t="inlineStr">
        <is>
          <t>Actual Fill Price</t>
        </is>
      </c>
      <c r="H1" s="7" t="inlineStr">
        <is>
          <t>Qty (calc)</t>
        </is>
      </c>
      <c r="I1" s="7" t="inlineStr">
        <is>
          <t>Slippage %</t>
        </is>
      </c>
      <c r="J1" s="7" t="inlineStr">
        <is>
          <t>Dollar at Risk</t>
        </is>
      </c>
      <c r="K1" s="7" t="inlineStr">
        <is>
          <t>Exit Date</t>
        </is>
      </c>
      <c r="L1" s="7" t="inlineStr">
        <is>
          <t>Exit Reason</t>
        </is>
      </c>
      <c r="M1" s="7" t="inlineStr">
        <is>
          <t>Exit Price</t>
        </is>
      </c>
      <c r="N1" s="7" t="inlineStr">
        <is>
          <t>Days Held</t>
        </is>
      </c>
      <c r="O1" s="7" t="inlineStr">
        <is>
          <t>Realized P&amp;L INR</t>
        </is>
      </c>
      <c r="P1" s="7" t="inlineStr">
        <is>
          <t>Realized %</t>
        </is>
      </c>
      <c r="Q1" s="7" t="inlineStr">
        <is>
          <t>R Multiple</t>
        </is>
      </c>
      <c r="R1" s="7" t="inlineStr">
        <is>
          <t>Outcome</t>
        </is>
      </c>
    </row>
    <row r="2">
      <c r="A2" s="8" t="inlineStr">
        <is>
          <t>2026-06-08</t>
        </is>
      </c>
      <c r="B2" s="8" t="inlineStr">
        <is>
          <t>HSCL</t>
        </is>
      </c>
      <c r="C2" s="9" t="n">
        <v>6.9</v>
      </c>
      <c r="D2" s="10" t="n">
        <v>685</v>
      </c>
      <c r="E2" s="10" t="n">
        <v>622.5</v>
      </c>
      <c r="F2" s="11" t="n">
        <v>9333</v>
      </c>
      <c r="G2" s="10" t="n"/>
      <c r="H2" s="12">
        <f>IF(G2&gt;0,F2/G2,0)</f>
        <v/>
      </c>
      <c r="I2" s="13">
        <f>IF(G2&gt;0,(G2-D2)/D2,0)</f>
        <v/>
      </c>
      <c r="J2" s="14">
        <f>IF(AND(G2&gt;0,E2&gt;0),H2*(G2-E2),0)</f>
        <v/>
      </c>
      <c r="K2" s="8" t="n"/>
      <c r="L2" s="8" t="n"/>
      <c r="M2" s="10" t="n"/>
      <c r="N2" s="15">
        <f>IF(AND(ISNUMBER(K2),ISNUMBER(A2)),NETWORKDAYS(A2,K2),0)</f>
        <v/>
      </c>
      <c r="O2" s="16">
        <f>IF(AND(ISNUMBER(M2),H2&gt;0),(M2-G2)*H2,0)</f>
        <v/>
      </c>
      <c r="P2" s="17">
        <f>IF(AND(ISNUMBER(M2),G2&gt;0),(M2-G2)/G2,0)</f>
        <v/>
      </c>
      <c r="Q2" s="18">
        <f>IF(J2&gt;0,O2/J2,0)</f>
        <v/>
      </c>
      <c r="R2" s="15">
        <f>IF(O2="","-",IF(O2&gt;0,"WIN",IF(O2&lt;0,"LOSS","FLAT")))</f>
        <v/>
      </c>
    </row>
    <row r="3">
      <c r="A3" s="8" t="inlineStr">
        <is>
          <t>2026-06-08</t>
        </is>
      </c>
      <c r="B3" s="8" t="inlineStr">
        <is>
          <t>AUROPHARMA</t>
        </is>
      </c>
      <c r="C3" s="9" t="n">
        <v>6.8</v>
      </c>
      <c r="D3" s="10" t="n">
        <v>1462.3</v>
      </c>
      <c r="E3" s="10" t="n">
        <v>1380</v>
      </c>
      <c r="F3" s="11" t="n">
        <v>9333</v>
      </c>
      <c r="G3" s="10" t="n"/>
      <c r="H3" s="12">
        <f>IF(G3&gt;0,F3/G3,0)</f>
        <v/>
      </c>
      <c r="I3" s="13">
        <f>IF(G3&gt;0,(G3-D3)/D3,0)</f>
        <v/>
      </c>
      <c r="J3" s="14">
        <f>IF(AND(G3&gt;0,E3&gt;0),H3*(G3-E3),0)</f>
        <v/>
      </c>
      <c r="K3" s="8" t="n"/>
      <c r="L3" s="8" t="n"/>
      <c r="M3" s="10" t="n"/>
      <c r="N3" s="15">
        <f>IF(AND(ISNUMBER(K3),ISNUMBER(A3)),NETWORKDAYS(A3,K3),0)</f>
        <v/>
      </c>
      <c r="O3" s="16">
        <f>IF(AND(ISNUMBER(M3),H3&gt;0),(M3-G3)*H3,0)</f>
        <v/>
      </c>
      <c r="P3" s="17">
        <f>IF(AND(ISNUMBER(M3),G3&gt;0),(M3-G3)/G3,0)</f>
        <v/>
      </c>
      <c r="Q3" s="18">
        <f>IF(J3&gt;0,O3/J3,0)</f>
        <v/>
      </c>
      <c r="R3" s="15">
        <f>IF(O3="","-",IF(O3&gt;0,"WIN",IF(O3&lt;0,"LOSS","FLAT")))</f>
        <v/>
      </c>
    </row>
    <row r="4">
      <c r="A4" s="8" t="inlineStr">
        <is>
          <t>2026-06-08</t>
        </is>
      </c>
      <c r="B4" s="8" t="inlineStr">
        <is>
          <t>BSE</t>
        </is>
      </c>
      <c r="C4" s="9" t="n">
        <v>6.7</v>
      </c>
      <c r="D4" s="10" t="n">
        <v>3880</v>
      </c>
      <c r="E4" s="10" t="n">
        <v>3555.4</v>
      </c>
      <c r="F4" s="11" t="n">
        <v>9333</v>
      </c>
      <c r="G4" s="10" t="n"/>
      <c r="H4" s="12">
        <f>IF(G4&gt;0,F4/G4,0)</f>
        <v/>
      </c>
      <c r="I4" s="13">
        <f>IF(G4&gt;0,(G4-D4)/D4,0)</f>
        <v/>
      </c>
      <c r="J4" s="14">
        <f>IF(AND(G4&gt;0,E4&gt;0),H4*(G4-E4),0)</f>
        <v/>
      </c>
      <c r="K4" s="8" t="n"/>
      <c r="L4" s="8" t="n"/>
      <c r="M4" s="10" t="n"/>
      <c r="N4" s="15">
        <f>IF(AND(ISNUMBER(K4),ISNUMBER(A4)),NETWORKDAYS(A4,K4),0)</f>
        <v/>
      </c>
      <c r="O4" s="16">
        <f>IF(AND(ISNUMBER(M4),H4&gt;0),(M4-G4)*H4,0)</f>
        <v/>
      </c>
      <c r="P4" s="17">
        <f>IF(AND(ISNUMBER(M4),G4&gt;0),(M4-G4)/G4,0)</f>
        <v/>
      </c>
      <c r="Q4" s="18">
        <f>IF(J4&gt;0,O4/J4,0)</f>
        <v/>
      </c>
      <c r="R4" s="15">
        <f>IF(O4="","-",IF(O4&gt;0,"WIN",IF(O4&lt;0,"LOSS","FLAT")))</f>
        <v/>
      </c>
    </row>
    <row r="5">
      <c r="A5" s="8" t="inlineStr">
        <is>
          <t>2026-06-08</t>
        </is>
      </c>
      <c r="B5" s="8" t="inlineStr">
        <is>
          <t>VIJAYA</t>
        </is>
      </c>
      <c r="C5" s="9" t="n">
        <v>6.5</v>
      </c>
      <c r="D5" s="10" t="n">
        <v>1372.4</v>
      </c>
      <c r="E5" s="10" t="n">
        <v>1248.4</v>
      </c>
      <c r="F5" s="11" t="n">
        <v>9333</v>
      </c>
      <c r="G5" s="10" t="n"/>
      <c r="H5" s="12">
        <f>IF(G5&gt;0,F5/G5,0)</f>
        <v/>
      </c>
      <c r="I5" s="13">
        <f>IF(G5&gt;0,(G5-D5)/D5,0)</f>
        <v/>
      </c>
      <c r="J5" s="14">
        <f>IF(AND(G5&gt;0,E5&gt;0),H5*(G5-E5),0)</f>
        <v/>
      </c>
      <c r="K5" s="8" t="n"/>
      <c r="L5" s="8" t="n"/>
      <c r="M5" s="10" t="n"/>
      <c r="N5" s="15">
        <f>IF(AND(ISNUMBER(K5),ISNUMBER(A5)),NETWORKDAYS(A5,K5),0)</f>
        <v/>
      </c>
      <c r="O5" s="16">
        <f>IF(AND(ISNUMBER(M5),H5&gt;0),(M5-G5)*H5,0)</f>
        <v/>
      </c>
      <c r="P5" s="17">
        <f>IF(AND(ISNUMBER(M5),G5&gt;0),(M5-G5)/G5,0)</f>
        <v/>
      </c>
      <c r="Q5" s="18">
        <f>IF(J5&gt;0,O5/J5,0)</f>
        <v/>
      </c>
      <c r="R5" s="15">
        <f>IF(O5="","-",IF(O5&gt;0,"WIN",IF(O5&lt;0,"LOSS","FLAT")))</f>
        <v/>
      </c>
    </row>
    <row r="6">
      <c r="A6" s="8" t="inlineStr">
        <is>
          <t>2026-06-08</t>
        </is>
      </c>
      <c r="B6" s="8" t="inlineStr">
        <is>
          <t>NESTLEIND</t>
        </is>
      </c>
      <c r="C6" s="9" t="n">
        <v>6.5</v>
      </c>
      <c r="D6" s="10" t="n">
        <v>1386.2</v>
      </c>
      <c r="E6" s="10" t="n">
        <v>1328.1</v>
      </c>
      <c r="F6" s="11" t="n">
        <v>9333</v>
      </c>
      <c r="G6" s="10" t="n"/>
      <c r="H6" s="12">
        <f>IF(G6&gt;0,F6/G6,0)</f>
        <v/>
      </c>
      <c r="I6" s="13">
        <f>IF(G6&gt;0,(G6-D6)/D6,0)</f>
        <v/>
      </c>
      <c r="J6" s="14">
        <f>IF(AND(G6&gt;0,E6&gt;0),H6*(G6-E6),0)</f>
        <v/>
      </c>
      <c r="K6" s="8" t="n"/>
      <c r="L6" s="8" t="n"/>
      <c r="M6" s="10" t="n"/>
      <c r="N6" s="15">
        <f>IF(AND(ISNUMBER(K6),ISNUMBER(A6)),NETWORKDAYS(A6,K6),0)</f>
        <v/>
      </c>
      <c r="O6" s="16">
        <f>IF(AND(ISNUMBER(M6),H6&gt;0),(M6-G6)*H6,0)</f>
        <v/>
      </c>
      <c r="P6" s="17">
        <f>IF(AND(ISNUMBER(M6),G6&gt;0),(M6-G6)/G6,0)</f>
        <v/>
      </c>
      <c r="Q6" s="18">
        <f>IF(J6&gt;0,O6/J6,0)</f>
        <v/>
      </c>
      <c r="R6" s="15">
        <f>IF(O6="","-",IF(O6&gt;0,"WIN",IF(O6&lt;0,"LOSS","FLAT")))</f>
        <v/>
      </c>
    </row>
    <row r="7">
      <c r="A7" s="8" t="inlineStr">
        <is>
          <t>2026-06-08</t>
        </is>
      </c>
      <c r="B7" s="8" t="inlineStr">
        <is>
          <t>MARICO</t>
        </is>
      </c>
      <c r="C7" s="9" t="n">
        <v>6.4</v>
      </c>
      <c r="D7" s="10" t="n">
        <v>810.6</v>
      </c>
      <c r="E7" s="10" t="n">
        <v>776.2</v>
      </c>
      <c r="F7" s="11" t="n">
        <v>9333</v>
      </c>
      <c r="G7" s="10" t="n"/>
      <c r="H7" s="12">
        <f>IF(G7&gt;0,F7/G7,0)</f>
        <v/>
      </c>
      <c r="I7" s="13">
        <f>IF(G7&gt;0,(G7-D7)/D7,0)</f>
        <v/>
      </c>
      <c r="J7" s="14">
        <f>IF(AND(G7&gt;0,E7&gt;0),H7*(G7-E7),0)</f>
        <v/>
      </c>
      <c r="K7" s="8" t="n"/>
      <c r="L7" s="8" t="n"/>
      <c r="M7" s="10" t="n"/>
      <c r="N7" s="15">
        <f>IF(AND(ISNUMBER(K7),ISNUMBER(A7)),NETWORKDAYS(A7,K7),0)</f>
        <v/>
      </c>
      <c r="O7" s="16">
        <f>IF(AND(ISNUMBER(M7),H7&gt;0),(M7-G7)*H7,0)</f>
        <v/>
      </c>
      <c r="P7" s="17">
        <f>IF(AND(ISNUMBER(M7),G7&gt;0),(M7-G7)/G7,0)</f>
        <v/>
      </c>
      <c r="Q7" s="18">
        <f>IF(J7&gt;0,O7/J7,0)</f>
        <v/>
      </c>
      <c r="R7" s="15">
        <f>IF(O7="","-",IF(O7&gt;0,"WIN",IF(O7&lt;0,"LOSS","FLAT")))</f>
        <v/>
      </c>
    </row>
    <row r="8">
      <c r="A8" s="8" t="inlineStr">
        <is>
          <t>2026-06-08</t>
        </is>
      </c>
      <c r="B8" s="8" t="inlineStr">
        <is>
          <t>DMART</t>
        </is>
      </c>
      <c r="C8" s="9" t="n">
        <v>6.4</v>
      </c>
      <c r="D8" s="10" t="n">
        <v>4144.2</v>
      </c>
      <c r="E8" s="10" t="n">
        <v>3943.8</v>
      </c>
      <c r="F8" s="11" t="n">
        <v>9333</v>
      </c>
      <c r="G8" s="10" t="n"/>
      <c r="H8" s="12">
        <f>IF(G8&gt;0,F8/G8,0)</f>
        <v/>
      </c>
      <c r="I8" s="13">
        <f>IF(G8&gt;0,(G8-D8)/D8,0)</f>
        <v/>
      </c>
      <c r="J8" s="14">
        <f>IF(AND(G8&gt;0,E8&gt;0),H8*(G8-E8),0)</f>
        <v/>
      </c>
      <c r="K8" s="8" t="n"/>
      <c r="L8" s="8" t="n"/>
      <c r="M8" s="10" t="n"/>
      <c r="N8" s="15">
        <f>IF(AND(ISNUMBER(K8),ISNUMBER(A8)),NETWORKDAYS(A8,K8),0)</f>
        <v/>
      </c>
      <c r="O8" s="16">
        <f>IF(AND(ISNUMBER(M8),H8&gt;0),(M8-G8)*H8,0)</f>
        <v/>
      </c>
      <c r="P8" s="17">
        <f>IF(AND(ISNUMBER(M8),G8&gt;0),(M8-G8)/G8,0)</f>
        <v/>
      </c>
      <c r="Q8" s="18">
        <f>IF(J8&gt;0,O8/J8,0)</f>
        <v/>
      </c>
      <c r="R8" s="15">
        <f>IF(O8="","-",IF(O8&gt;0,"WIN",IF(O8&lt;0,"LOSS","FLAT")))</f>
        <v/>
      </c>
    </row>
    <row r="9">
      <c r="A9" s="8" t="inlineStr">
        <is>
          <t>2026-06-08</t>
        </is>
      </c>
      <c r="B9" s="8" t="inlineStr">
        <is>
          <t>LUPIN</t>
        </is>
      </c>
      <c r="C9" s="9" t="n">
        <v>6.4</v>
      </c>
      <c r="D9" s="10" t="n">
        <v>2267.7</v>
      </c>
      <c r="E9" s="10" t="n">
        <v>2187</v>
      </c>
      <c r="F9" s="11" t="n">
        <v>9333</v>
      </c>
      <c r="G9" s="10" t="n"/>
      <c r="H9" s="12">
        <f>IF(G9&gt;0,F9/G9,0)</f>
        <v/>
      </c>
      <c r="I9" s="13">
        <f>IF(G9&gt;0,(G9-D9)/D9,0)</f>
        <v/>
      </c>
      <c r="J9" s="14">
        <f>IF(AND(G9&gt;0,E9&gt;0),H9*(G9-E9),0)</f>
        <v/>
      </c>
      <c r="K9" s="8" t="n"/>
      <c r="L9" s="8" t="n"/>
      <c r="M9" s="10" t="n"/>
      <c r="N9" s="15">
        <f>IF(AND(ISNUMBER(K9),ISNUMBER(A9)),NETWORKDAYS(A9,K9),0)</f>
        <v/>
      </c>
      <c r="O9" s="16">
        <f>IF(AND(ISNUMBER(M9),H9&gt;0),(M9-G9)*H9,0)</f>
        <v/>
      </c>
      <c r="P9" s="17">
        <f>IF(AND(ISNUMBER(M9),G9&gt;0),(M9-G9)/G9,0)</f>
        <v/>
      </c>
      <c r="Q9" s="18">
        <f>IF(J9&gt;0,O9/J9,0)</f>
        <v/>
      </c>
      <c r="R9" s="15">
        <f>IF(O9="","-",IF(O9&gt;0,"WIN",IF(O9&lt;0,"LOSS","FLAT")))</f>
        <v/>
      </c>
    </row>
    <row r="10">
      <c r="A10" s="8" t="inlineStr">
        <is>
          <t>2026-06-08</t>
        </is>
      </c>
      <c r="B10" s="8" t="inlineStr">
        <is>
          <t>NMDC</t>
        </is>
      </c>
      <c r="C10" s="9" t="n">
        <v>6.3</v>
      </c>
      <c r="D10" s="10" t="n">
        <v>92.90000000000001</v>
      </c>
      <c r="E10" s="10" t="n">
        <v>87.09999999999999</v>
      </c>
      <c r="F10" s="11" t="n">
        <v>9333</v>
      </c>
      <c r="G10" s="10" t="n"/>
      <c r="H10" s="12">
        <f>IF(G10&gt;0,F10/G10,0)</f>
        <v/>
      </c>
      <c r="I10" s="13">
        <f>IF(G10&gt;0,(G10-D10)/D10,0)</f>
        <v/>
      </c>
      <c r="J10" s="14">
        <f>IF(AND(G10&gt;0,E10&gt;0),H10*(G10-E10),0)</f>
        <v/>
      </c>
      <c r="K10" s="8" t="n"/>
      <c r="L10" s="8" t="n"/>
      <c r="M10" s="10" t="n"/>
      <c r="N10" s="15">
        <f>IF(AND(ISNUMBER(K10),ISNUMBER(A10)),NETWORKDAYS(A10,K10),0)</f>
        <v/>
      </c>
      <c r="O10" s="16">
        <f>IF(AND(ISNUMBER(M10),H10&gt;0),(M10-G10)*H10,0)</f>
        <v/>
      </c>
      <c r="P10" s="17">
        <f>IF(AND(ISNUMBER(M10),G10&gt;0),(M10-G10)/G10,0)</f>
        <v/>
      </c>
      <c r="Q10" s="18">
        <f>IF(J10&gt;0,O10/J10,0)</f>
        <v/>
      </c>
      <c r="R10" s="15">
        <f>IF(O10="","-",IF(O10&gt;0,"WIN",IF(O10&lt;0,"LOSS","FLAT")))</f>
        <v/>
      </c>
    </row>
    <row r="11">
      <c r="A11" s="8" t="inlineStr">
        <is>
          <t>2026-06-08</t>
        </is>
      </c>
      <c r="B11" s="8" t="inlineStr">
        <is>
          <t>LAURUSLABS</t>
        </is>
      </c>
      <c r="C11" s="9" t="n">
        <v>6.2</v>
      </c>
      <c r="D11" s="10" t="n">
        <v>1446.8</v>
      </c>
      <c r="E11" s="10" t="n">
        <v>1388.5</v>
      </c>
      <c r="F11" s="11" t="n">
        <v>9333</v>
      </c>
      <c r="G11" s="10" t="n"/>
      <c r="H11" s="12">
        <f>IF(G11&gt;0,F11/G11,0)</f>
        <v/>
      </c>
      <c r="I11" s="13">
        <f>IF(G11&gt;0,(G11-D11)/D11,0)</f>
        <v/>
      </c>
      <c r="J11" s="14">
        <f>IF(AND(G11&gt;0,E11&gt;0),H11*(G11-E11),0)</f>
        <v/>
      </c>
      <c r="K11" s="8" t="n"/>
      <c r="L11" s="8" t="n"/>
      <c r="M11" s="10" t="n"/>
      <c r="N11" s="15">
        <f>IF(AND(ISNUMBER(K11),ISNUMBER(A11)),NETWORKDAYS(A11,K11),0)</f>
        <v/>
      </c>
      <c r="O11" s="16">
        <f>IF(AND(ISNUMBER(M11),H11&gt;0),(M11-G11)*H11,0)</f>
        <v/>
      </c>
      <c r="P11" s="17">
        <f>IF(AND(ISNUMBER(M11),G11&gt;0),(M11-G11)/G11,0)</f>
        <v/>
      </c>
      <c r="Q11" s="18">
        <f>IF(J11&gt;0,O11/J11,0)</f>
        <v/>
      </c>
      <c r="R11" s="15">
        <f>IF(O11="","-",IF(O11&gt;0,"WIN",IF(O11&lt;0,"LOSS","FLAT")))</f>
        <v/>
      </c>
    </row>
    <row r="12">
      <c r="A12" s="8" t="inlineStr">
        <is>
          <t>2026-06-08</t>
        </is>
      </c>
      <c r="B12" s="8" t="inlineStr"/>
      <c r="C12" s="9" t="inlineStr"/>
      <c r="D12" s="10" t="inlineStr"/>
      <c r="E12" s="10" t="inlineStr"/>
      <c r="F12" s="11" t="inlineStr"/>
      <c r="G12" s="10" t="n"/>
      <c r="H12" s="12">
        <f>IF(G12&gt;0,F12/G12,0)</f>
        <v/>
      </c>
      <c r="I12" s="13">
        <f>IF(G12&gt;0,(G12-D12)/D12,0)</f>
        <v/>
      </c>
      <c r="J12" s="14">
        <f>IF(AND(G12&gt;0,E12&gt;0),H12*(G12-E12),0)</f>
        <v/>
      </c>
      <c r="K12" s="8" t="n"/>
      <c r="L12" s="8" t="n"/>
      <c r="M12" s="10" t="n"/>
      <c r="N12" s="15">
        <f>IF(AND(ISNUMBER(K12),ISNUMBER(A12)),NETWORKDAYS(A12,K12),0)</f>
        <v/>
      </c>
      <c r="O12" s="16">
        <f>IF(AND(ISNUMBER(M12),H12&gt;0),(M12-G12)*H12,0)</f>
        <v/>
      </c>
      <c r="P12" s="17">
        <f>IF(AND(ISNUMBER(M12),G12&gt;0),(M12-G12)/G12,0)</f>
        <v/>
      </c>
      <c r="Q12" s="18">
        <f>IF(J12&gt;0,O12/J12,0)</f>
        <v/>
      </c>
      <c r="R12" s="15">
        <f>IF(O12="","-",IF(O12&gt;0,"WIN",IF(O12&lt;0,"LOSS","FLAT")))</f>
        <v/>
      </c>
    </row>
    <row r="13">
      <c r="A13" s="8" t="inlineStr">
        <is>
          <t>2026-06-08</t>
        </is>
      </c>
      <c r="B13" s="8" t="inlineStr"/>
      <c r="C13" s="9" t="inlineStr"/>
      <c r="D13" s="10" t="inlineStr"/>
      <c r="E13" s="10" t="inlineStr"/>
      <c r="F13" s="11" t="inlineStr"/>
      <c r="G13" s="10" t="n"/>
      <c r="H13" s="12">
        <f>IF(G13&gt;0,F13/G13,0)</f>
        <v/>
      </c>
      <c r="I13" s="13">
        <f>IF(G13&gt;0,(G13-D13)/D13,0)</f>
        <v/>
      </c>
      <c r="J13" s="14">
        <f>IF(AND(G13&gt;0,E13&gt;0),H13*(G13-E13),0)</f>
        <v/>
      </c>
      <c r="K13" s="8" t="n"/>
      <c r="L13" s="8" t="n"/>
      <c r="M13" s="10" t="n"/>
      <c r="N13" s="15">
        <f>IF(AND(ISNUMBER(K13),ISNUMBER(A13)),NETWORKDAYS(A13,K13),0)</f>
        <v/>
      </c>
      <c r="O13" s="16">
        <f>IF(AND(ISNUMBER(M13),H13&gt;0),(M13-G13)*H13,0)</f>
        <v/>
      </c>
      <c r="P13" s="17">
        <f>IF(AND(ISNUMBER(M13),G13&gt;0),(M13-G13)/G13,0)</f>
        <v/>
      </c>
      <c r="Q13" s="18">
        <f>IF(J13&gt;0,O13/J13,0)</f>
        <v/>
      </c>
      <c r="R13" s="15">
        <f>IF(O13="","-",IF(O13&gt;0,"WIN",IF(O13&lt;0,"LOSS","FLAT")))</f>
        <v/>
      </c>
    </row>
    <row r="14">
      <c r="A14" s="8" t="inlineStr">
        <is>
          <t>2026-06-08</t>
        </is>
      </c>
      <c r="B14" s="8" t="inlineStr"/>
      <c r="C14" s="9" t="inlineStr"/>
      <c r="D14" s="10" t="inlineStr"/>
      <c r="E14" s="10" t="inlineStr"/>
      <c r="F14" s="11" t="inlineStr"/>
      <c r="G14" s="10" t="n"/>
      <c r="H14" s="12">
        <f>IF(G14&gt;0,F14/G14,0)</f>
        <v/>
      </c>
      <c r="I14" s="13">
        <f>IF(G14&gt;0,(G14-D14)/D14,0)</f>
        <v/>
      </c>
      <c r="J14" s="14">
        <f>IF(AND(G14&gt;0,E14&gt;0),H14*(G14-E14),0)</f>
        <v/>
      </c>
      <c r="K14" s="8" t="n"/>
      <c r="L14" s="8" t="n"/>
      <c r="M14" s="10" t="n"/>
      <c r="N14" s="15">
        <f>IF(AND(ISNUMBER(K14),ISNUMBER(A14)),NETWORKDAYS(A14,K14),0)</f>
        <v/>
      </c>
      <c r="O14" s="16">
        <f>IF(AND(ISNUMBER(M14),H14&gt;0),(M14-G14)*H14,0)</f>
        <v/>
      </c>
      <c r="P14" s="17">
        <f>IF(AND(ISNUMBER(M14),G14&gt;0),(M14-G14)/G14,0)</f>
        <v/>
      </c>
      <c r="Q14" s="18">
        <f>IF(J14&gt;0,O14/J14,0)</f>
        <v/>
      </c>
      <c r="R14" s="15">
        <f>IF(O14="","-",IF(O14&gt;0,"WIN",IF(O14&lt;0,"LOSS","FLAT")))</f>
        <v/>
      </c>
    </row>
    <row r="15">
      <c r="A15" s="8" t="inlineStr">
        <is>
          <t>2026-06-08</t>
        </is>
      </c>
      <c r="B15" s="8" t="inlineStr"/>
      <c r="C15" s="9" t="inlineStr"/>
      <c r="D15" s="10" t="inlineStr"/>
      <c r="E15" s="10" t="inlineStr"/>
      <c r="F15" s="11" t="inlineStr"/>
      <c r="G15" s="10" t="n"/>
      <c r="H15" s="12">
        <f>IF(G15&gt;0,F15/G15,0)</f>
        <v/>
      </c>
      <c r="I15" s="13">
        <f>IF(G15&gt;0,(G15-D15)/D15,0)</f>
        <v/>
      </c>
      <c r="J15" s="14">
        <f>IF(AND(G15&gt;0,E15&gt;0),H15*(G15-E15),0)</f>
        <v/>
      </c>
      <c r="K15" s="8" t="n"/>
      <c r="L15" s="8" t="n"/>
      <c r="M15" s="10" t="n"/>
      <c r="N15" s="15">
        <f>IF(AND(ISNUMBER(K15),ISNUMBER(A15)),NETWORKDAYS(A15,K15),0)</f>
        <v/>
      </c>
      <c r="O15" s="16">
        <f>IF(AND(ISNUMBER(M15),H15&gt;0),(M15-G15)*H15,0)</f>
        <v/>
      </c>
      <c r="P15" s="17">
        <f>IF(AND(ISNUMBER(M15),G15&gt;0),(M15-G15)/G15,0)</f>
        <v/>
      </c>
      <c r="Q15" s="18">
        <f>IF(J15&gt;0,O15/J15,0)</f>
        <v/>
      </c>
      <c r="R15" s="15">
        <f>IF(O15="","-",IF(O15&gt;0,"WIN",IF(O15&lt;0,"LOSS","FLAT")))</f>
        <v/>
      </c>
    </row>
    <row r="16">
      <c r="A16" s="8" t="inlineStr">
        <is>
          <t>2026-06-08</t>
        </is>
      </c>
      <c r="B16" s="8" t="inlineStr"/>
      <c r="C16" s="9" t="inlineStr"/>
      <c r="D16" s="10" t="inlineStr"/>
      <c r="E16" s="10" t="inlineStr"/>
      <c r="F16" s="11" t="inlineStr"/>
      <c r="G16" s="10" t="n"/>
      <c r="H16" s="12">
        <f>IF(G16&gt;0,F16/G16,0)</f>
        <v/>
      </c>
      <c r="I16" s="13">
        <f>IF(G16&gt;0,(G16-D16)/D16,0)</f>
        <v/>
      </c>
      <c r="J16" s="14">
        <f>IF(AND(G16&gt;0,E16&gt;0),H16*(G16-E16),0)</f>
        <v/>
      </c>
      <c r="K16" s="8" t="n"/>
      <c r="L16" s="8" t="n"/>
      <c r="M16" s="10" t="n"/>
      <c r="N16" s="15">
        <f>IF(AND(ISNUMBER(K16),ISNUMBER(A16)),NETWORKDAYS(A16,K16),0)</f>
        <v/>
      </c>
      <c r="O16" s="16">
        <f>IF(AND(ISNUMBER(M16),H16&gt;0),(M16-G16)*H16,0)</f>
        <v/>
      </c>
      <c r="P16" s="17">
        <f>IF(AND(ISNUMBER(M16),G16&gt;0),(M16-G16)/G16,0)</f>
        <v/>
      </c>
      <c r="Q16" s="18">
        <f>IF(J16&gt;0,O16/J16,0)</f>
        <v/>
      </c>
      <c r="R16" s="15">
        <f>IF(O16="","-",IF(O16&gt;0,"WIN",IF(O16&lt;0,"LOSS","FLAT")))</f>
        <v/>
      </c>
    </row>
    <row r="17">
      <c r="A17" s="8" t="inlineStr"/>
      <c r="B17" s="8" t="inlineStr"/>
      <c r="C17" s="9" t="inlineStr"/>
      <c r="D17" s="10" t="inlineStr"/>
      <c r="E17" s="10" t="inlineStr"/>
      <c r="F17" s="11" t="inlineStr"/>
      <c r="G17" s="10" t="inlineStr"/>
      <c r="H17" s="12">
        <f>IF(G17&gt;0,F17/G17,0)</f>
        <v/>
      </c>
      <c r="I17" s="13">
        <f>IF(G17&gt;0,(G17-D17)/D17,0)</f>
        <v/>
      </c>
      <c r="J17" s="14">
        <f>IF(AND(G17&gt;0,E17&gt;0),H17*(G17-E17),0)</f>
        <v/>
      </c>
      <c r="M17" s="19" t="n"/>
      <c r="N17" s="15">
        <f>IF(AND(ISNUMBER(K17),ISNUMBER(A17)),NETWORKDAYS(A17,K17),0)</f>
        <v/>
      </c>
      <c r="O17" s="16">
        <f>IF(AND(ISNUMBER(M17),H17&gt;0),(M17-G17)*H17,0)</f>
        <v/>
      </c>
      <c r="P17" s="17">
        <f>IF(AND(ISNUMBER(M17),G17&gt;0),(M17-G17)/G17,0)</f>
        <v/>
      </c>
      <c r="Q17" s="18">
        <f>IF(J17&gt;0,O17/J17,0)</f>
        <v/>
      </c>
      <c r="R17" s="15">
        <f>IF(O17="","-",IF(O17&gt;0,"WIN",IF(O17&lt;0,"LOSS","FLAT")))</f>
        <v/>
      </c>
    </row>
    <row r="18">
      <c r="A18" s="8" t="inlineStr"/>
      <c r="B18" s="8" t="inlineStr"/>
      <c r="C18" s="9" t="inlineStr"/>
      <c r="D18" s="10" t="inlineStr"/>
      <c r="E18" s="10" t="inlineStr"/>
      <c r="F18" s="11" t="inlineStr"/>
      <c r="G18" s="10" t="inlineStr"/>
      <c r="H18" s="12">
        <f>IF(G18&gt;0,F18/G18,0)</f>
        <v/>
      </c>
      <c r="I18" s="13">
        <f>IF(G18&gt;0,(G18-D18)/D18,0)</f>
        <v/>
      </c>
      <c r="J18" s="14">
        <f>IF(AND(G18&gt;0,E18&gt;0),H18*(G18-E18),0)</f>
        <v/>
      </c>
      <c r="M18" s="19" t="n"/>
      <c r="N18" s="15">
        <f>IF(AND(ISNUMBER(K18),ISNUMBER(A18)),NETWORKDAYS(A18,K18),0)</f>
        <v/>
      </c>
      <c r="O18" s="16">
        <f>IF(AND(ISNUMBER(M18),H18&gt;0),(M18-G18)*H18,0)</f>
        <v/>
      </c>
      <c r="P18" s="17">
        <f>IF(AND(ISNUMBER(M18),G18&gt;0),(M18-G18)/G18,0)</f>
        <v/>
      </c>
      <c r="Q18" s="18">
        <f>IF(J18&gt;0,O18/J18,0)</f>
        <v/>
      </c>
      <c r="R18" s="15">
        <f>IF(O18="","-",IF(O18&gt;0,"WIN",IF(O18&lt;0,"LOSS","FLAT")))</f>
        <v/>
      </c>
    </row>
    <row r="19">
      <c r="A19" s="8" t="inlineStr"/>
      <c r="B19" s="8" t="inlineStr"/>
      <c r="C19" s="9" t="inlineStr"/>
      <c r="D19" s="10" t="inlineStr"/>
      <c r="E19" s="10" t="inlineStr"/>
      <c r="F19" s="11" t="inlineStr"/>
      <c r="G19" s="10" t="inlineStr"/>
      <c r="H19" s="12">
        <f>IF(G19&gt;0,F19/G19,0)</f>
        <v/>
      </c>
      <c r="I19" s="13">
        <f>IF(G19&gt;0,(G19-D19)/D19,0)</f>
        <v/>
      </c>
      <c r="J19" s="14">
        <f>IF(AND(G19&gt;0,E19&gt;0),H19*(G19-E19),0)</f>
        <v/>
      </c>
      <c r="M19" s="19" t="n"/>
      <c r="N19" s="15">
        <f>IF(AND(ISNUMBER(K19),ISNUMBER(A19)),NETWORKDAYS(A19,K19),0)</f>
        <v/>
      </c>
      <c r="O19" s="16">
        <f>IF(AND(ISNUMBER(M19),H19&gt;0),(M19-G19)*H19,0)</f>
        <v/>
      </c>
      <c r="P19" s="17">
        <f>IF(AND(ISNUMBER(M19),G19&gt;0),(M19-G19)/G19,0)</f>
        <v/>
      </c>
      <c r="Q19" s="18">
        <f>IF(J19&gt;0,O19/J19,0)</f>
        <v/>
      </c>
      <c r="R19" s="15">
        <f>IF(O19="","-",IF(O19&gt;0,"WIN",IF(O19&lt;0,"LOSS","FLAT")))</f>
        <v/>
      </c>
    </row>
    <row r="20">
      <c r="A20" s="8" t="inlineStr"/>
      <c r="B20" s="8" t="inlineStr"/>
      <c r="C20" s="9" t="inlineStr"/>
      <c r="D20" s="10" t="inlineStr"/>
      <c r="E20" s="10" t="inlineStr"/>
      <c r="F20" s="11" t="inlineStr"/>
      <c r="G20" s="10" t="inlineStr"/>
      <c r="H20" s="12">
        <f>IF(G20&gt;0,F20/G20,0)</f>
        <v/>
      </c>
      <c r="I20" s="13">
        <f>IF(G20&gt;0,(G20-D20)/D20,0)</f>
        <v/>
      </c>
      <c r="J20" s="14">
        <f>IF(AND(G20&gt;0,E20&gt;0),H20*(G20-E20),0)</f>
        <v/>
      </c>
      <c r="M20" s="19" t="n"/>
      <c r="N20" s="15">
        <f>IF(AND(ISNUMBER(K20),ISNUMBER(A20)),NETWORKDAYS(A20,K20),0)</f>
        <v/>
      </c>
      <c r="O20" s="16">
        <f>IF(AND(ISNUMBER(M20),H20&gt;0),(M20-G20)*H20,0)</f>
        <v/>
      </c>
      <c r="P20" s="17">
        <f>IF(AND(ISNUMBER(M20),G20&gt;0),(M20-G20)/G20,0)</f>
        <v/>
      </c>
      <c r="Q20" s="18">
        <f>IF(J20&gt;0,O20/J20,0)</f>
        <v/>
      </c>
      <c r="R20" s="15">
        <f>IF(O20="","-",IF(O20&gt;0,"WIN",IF(O20&lt;0,"LOSS","FLAT")))</f>
        <v/>
      </c>
    </row>
    <row r="21">
      <c r="A21" s="8" t="inlineStr"/>
      <c r="B21" s="8" t="inlineStr"/>
      <c r="C21" s="9" t="inlineStr"/>
      <c r="D21" s="10" t="inlineStr"/>
      <c r="E21" s="10" t="inlineStr"/>
      <c r="F21" s="11" t="inlineStr"/>
      <c r="G21" s="10" t="inlineStr"/>
      <c r="H21" s="12">
        <f>IF(G21&gt;0,F21/G21,0)</f>
        <v/>
      </c>
      <c r="I21" s="13">
        <f>IF(G21&gt;0,(G21-D21)/D21,0)</f>
        <v/>
      </c>
      <c r="J21" s="14">
        <f>IF(AND(G21&gt;0,E21&gt;0),H21*(G21-E21),0)</f>
        <v/>
      </c>
      <c r="M21" s="19" t="n"/>
      <c r="N21" s="15">
        <f>IF(AND(ISNUMBER(K21),ISNUMBER(A21)),NETWORKDAYS(A21,K21),0)</f>
        <v/>
      </c>
      <c r="O21" s="16">
        <f>IF(AND(ISNUMBER(M21),H21&gt;0),(M21-G21)*H21,0)</f>
        <v/>
      </c>
      <c r="P21" s="17">
        <f>IF(AND(ISNUMBER(M21),G21&gt;0),(M21-G21)/G21,0)</f>
        <v/>
      </c>
      <c r="Q21" s="18">
        <f>IF(J21&gt;0,O21/J21,0)</f>
        <v/>
      </c>
      <c r="R21" s="15">
        <f>IF(O21="","-",IF(O21&gt;0,"WIN",IF(O21&lt;0,"LOSS","FLAT")))</f>
        <v/>
      </c>
    </row>
    <row r="22">
      <c r="A22" s="8" t="inlineStr"/>
      <c r="B22" s="8" t="inlineStr"/>
      <c r="C22" s="9" t="inlineStr"/>
      <c r="D22" s="10" t="inlineStr"/>
      <c r="E22" s="10" t="inlineStr"/>
      <c r="F22" s="11" t="inlineStr"/>
      <c r="G22" s="10" t="inlineStr"/>
      <c r="H22" s="12">
        <f>IF(G22&gt;0,F22/G22,0)</f>
        <v/>
      </c>
      <c r="I22" s="13">
        <f>IF(G22&gt;0,(G22-D22)/D22,0)</f>
        <v/>
      </c>
      <c r="J22" s="14">
        <f>IF(AND(G22&gt;0,E22&gt;0),H22*(G22-E22),0)</f>
        <v/>
      </c>
      <c r="M22" s="19" t="n"/>
      <c r="N22" s="15">
        <f>IF(AND(ISNUMBER(K22),ISNUMBER(A22)),NETWORKDAYS(A22,K22),0)</f>
        <v/>
      </c>
      <c r="O22" s="16">
        <f>IF(AND(ISNUMBER(M22),H22&gt;0),(M22-G22)*H22,0)</f>
        <v/>
      </c>
      <c r="P22" s="17">
        <f>IF(AND(ISNUMBER(M22),G22&gt;0),(M22-G22)/G22,0)</f>
        <v/>
      </c>
      <c r="Q22" s="18">
        <f>IF(J22&gt;0,O22/J22,0)</f>
        <v/>
      </c>
      <c r="R22" s="15">
        <f>IF(O22="","-",IF(O22&gt;0,"WIN",IF(O22&lt;0,"LOSS","FLAT")))</f>
        <v/>
      </c>
    </row>
    <row r="23">
      <c r="A23" s="8" t="inlineStr"/>
      <c r="B23" s="8" t="inlineStr"/>
      <c r="C23" s="9" t="inlineStr"/>
      <c r="D23" s="10" t="inlineStr"/>
      <c r="E23" s="10" t="inlineStr"/>
      <c r="F23" s="11" t="inlineStr"/>
      <c r="G23" s="10" t="inlineStr"/>
      <c r="H23" s="12">
        <f>IF(G23&gt;0,F23/G23,0)</f>
        <v/>
      </c>
      <c r="I23" s="13">
        <f>IF(G23&gt;0,(G23-D23)/D23,0)</f>
        <v/>
      </c>
      <c r="J23" s="14">
        <f>IF(AND(G23&gt;0,E23&gt;0),H23*(G23-E23),0)</f>
        <v/>
      </c>
      <c r="M23" s="19" t="n"/>
      <c r="N23" s="15">
        <f>IF(AND(ISNUMBER(K23),ISNUMBER(A23)),NETWORKDAYS(A23,K23),0)</f>
        <v/>
      </c>
      <c r="O23" s="16">
        <f>IF(AND(ISNUMBER(M23),H23&gt;0),(M23-G23)*H23,0)</f>
        <v/>
      </c>
      <c r="P23" s="17">
        <f>IF(AND(ISNUMBER(M23),G23&gt;0),(M23-G23)/G23,0)</f>
        <v/>
      </c>
      <c r="Q23" s="18">
        <f>IF(J23&gt;0,O23/J23,0)</f>
        <v/>
      </c>
      <c r="R23" s="15">
        <f>IF(O23="","-",IF(O23&gt;0,"WIN",IF(O23&lt;0,"LOSS","FLAT")))</f>
        <v/>
      </c>
    </row>
    <row r="24">
      <c r="A24" s="8" t="inlineStr"/>
      <c r="B24" s="8" t="inlineStr"/>
      <c r="C24" s="9" t="inlineStr"/>
      <c r="D24" s="10" t="inlineStr"/>
      <c r="E24" s="10" t="inlineStr"/>
      <c r="F24" s="11" t="inlineStr"/>
      <c r="G24" s="10" t="inlineStr"/>
      <c r="H24" s="12">
        <f>IF(G24&gt;0,F24/G24,0)</f>
        <v/>
      </c>
      <c r="I24" s="13">
        <f>IF(G24&gt;0,(G24-D24)/D24,0)</f>
        <v/>
      </c>
      <c r="J24" s="14">
        <f>IF(AND(G24&gt;0,E24&gt;0),H24*(G24-E24),0)</f>
        <v/>
      </c>
      <c r="M24" s="19" t="n"/>
      <c r="N24" s="15">
        <f>IF(AND(ISNUMBER(K24),ISNUMBER(A24)),NETWORKDAYS(A24,K24),0)</f>
        <v/>
      </c>
      <c r="O24" s="16">
        <f>IF(AND(ISNUMBER(M24),H24&gt;0),(M24-G24)*H24,0)</f>
        <v/>
      </c>
      <c r="P24" s="17">
        <f>IF(AND(ISNUMBER(M24),G24&gt;0),(M24-G24)/G24,0)</f>
        <v/>
      </c>
      <c r="Q24" s="18">
        <f>IF(J24&gt;0,O24/J24,0)</f>
        <v/>
      </c>
      <c r="R24" s="15">
        <f>IF(O24="","-",IF(O24&gt;0,"WIN",IF(O24&lt;0,"LOSS","FLAT")))</f>
        <v/>
      </c>
    </row>
    <row r="25">
      <c r="A25" s="8" t="inlineStr"/>
      <c r="B25" s="8" t="inlineStr"/>
      <c r="C25" s="9" t="inlineStr"/>
      <c r="D25" s="10" t="inlineStr"/>
      <c r="E25" s="10" t="inlineStr"/>
      <c r="F25" s="11" t="inlineStr"/>
      <c r="G25" s="10" t="inlineStr"/>
      <c r="H25" s="12">
        <f>IF(G25&gt;0,F25/G25,0)</f>
        <v/>
      </c>
      <c r="I25" s="13">
        <f>IF(G25&gt;0,(G25-D25)/D25,0)</f>
        <v/>
      </c>
      <c r="J25" s="14">
        <f>IF(AND(G25&gt;0,E25&gt;0),H25*(G25-E25),0)</f>
        <v/>
      </c>
      <c r="M25" s="19" t="n"/>
      <c r="N25" s="15">
        <f>IF(AND(ISNUMBER(K25),ISNUMBER(A25)),NETWORKDAYS(A25,K25),0)</f>
        <v/>
      </c>
      <c r="O25" s="16">
        <f>IF(AND(ISNUMBER(M25),H25&gt;0),(M25-G25)*H25,0)</f>
        <v/>
      </c>
      <c r="P25" s="17">
        <f>IF(AND(ISNUMBER(M25),G25&gt;0),(M25-G25)/G25,0)</f>
        <v/>
      </c>
      <c r="Q25" s="18">
        <f>IF(J25&gt;0,O25/J25,0)</f>
        <v/>
      </c>
      <c r="R25" s="15">
        <f>IF(O25="","-",IF(O25&gt;0,"WIN",IF(O25&lt;0,"LOSS","FLAT")))</f>
        <v/>
      </c>
    </row>
    <row r="26">
      <c r="A26" s="8" t="inlineStr"/>
      <c r="B26" s="8" t="inlineStr"/>
      <c r="C26" s="9" t="inlineStr"/>
      <c r="D26" s="10" t="inlineStr"/>
      <c r="E26" s="10" t="inlineStr"/>
      <c r="F26" s="11" t="inlineStr"/>
      <c r="G26" s="10" t="inlineStr"/>
      <c r="H26" s="12">
        <f>IF(G26&gt;0,F26/G26,0)</f>
        <v/>
      </c>
      <c r="I26" s="13">
        <f>IF(G26&gt;0,(G26-D26)/D26,0)</f>
        <v/>
      </c>
      <c r="J26" s="14">
        <f>IF(AND(G26&gt;0,E26&gt;0),H26*(G26-E26),0)</f>
        <v/>
      </c>
      <c r="M26" s="19" t="n"/>
      <c r="N26" s="15">
        <f>IF(AND(ISNUMBER(K26),ISNUMBER(A26)),NETWORKDAYS(A26,K26),0)</f>
        <v/>
      </c>
      <c r="O26" s="16">
        <f>IF(AND(ISNUMBER(M26),H26&gt;0),(M26-G26)*H26,0)</f>
        <v/>
      </c>
      <c r="P26" s="17">
        <f>IF(AND(ISNUMBER(M26),G26&gt;0),(M26-G26)/G26,0)</f>
        <v/>
      </c>
      <c r="Q26" s="18">
        <f>IF(J26&gt;0,O26/J26,0)</f>
        <v/>
      </c>
      <c r="R26" s="15">
        <f>IF(O26="","-",IF(O26&gt;0,"WIN",IF(O26&lt;0,"LOSS","FLAT")))</f>
        <v/>
      </c>
    </row>
    <row r="27">
      <c r="A27" s="8" t="inlineStr"/>
      <c r="B27" s="8" t="inlineStr"/>
      <c r="C27" s="9" t="inlineStr"/>
      <c r="D27" s="10" t="inlineStr"/>
      <c r="E27" s="10" t="inlineStr"/>
      <c r="F27" s="11" t="inlineStr"/>
      <c r="G27" s="10" t="inlineStr"/>
      <c r="H27" s="12">
        <f>IF(G27&gt;0,F27/G27,0)</f>
        <v/>
      </c>
      <c r="I27" s="13">
        <f>IF(G27&gt;0,(G27-D27)/D27,0)</f>
        <v/>
      </c>
      <c r="J27" s="14">
        <f>IF(AND(G27&gt;0,E27&gt;0),H27*(G27-E27),0)</f>
        <v/>
      </c>
      <c r="M27" s="19" t="n"/>
      <c r="N27" s="15">
        <f>IF(AND(ISNUMBER(K27),ISNUMBER(A27)),NETWORKDAYS(A27,K27),0)</f>
        <v/>
      </c>
      <c r="O27" s="16">
        <f>IF(AND(ISNUMBER(M27),H27&gt;0),(M27-G27)*H27,0)</f>
        <v/>
      </c>
      <c r="P27" s="17">
        <f>IF(AND(ISNUMBER(M27),G27&gt;0),(M27-G27)/G27,0)</f>
        <v/>
      </c>
      <c r="Q27" s="18">
        <f>IF(J27&gt;0,O27/J27,0)</f>
        <v/>
      </c>
      <c r="R27" s="15">
        <f>IF(O27="","-",IF(O27&gt;0,"WIN",IF(O27&lt;0,"LOSS","FLAT")))</f>
        <v/>
      </c>
    </row>
    <row r="28">
      <c r="A28" s="8" t="inlineStr"/>
      <c r="B28" s="8" t="inlineStr"/>
      <c r="C28" s="9" t="inlineStr"/>
      <c r="D28" s="10" t="inlineStr"/>
      <c r="E28" s="10" t="inlineStr"/>
      <c r="F28" s="11" t="inlineStr"/>
      <c r="G28" s="10" t="inlineStr"/>
      <c r="H28" s="12">
        <f>IF(G28&gt;0,F28/G28,0)</f>
        <v/>
      </c>
      <c r="I28" s="13">
        <f>IF(G28&gt;0,(G28-D28)/D28,0)</f>
        <v/>
      </c>
      <c r="J28" s="14">
        <f>IF(AND(G28&gt;0,E28&gt;0),H28*(G28-E28),0)</f>
        <v/>
      </c>
      <c r="M28" s="19" t="n"/>
      <c r="N28" s="15">
        <f>IF(AND(ISNUMBER(K28),ISNUMBER(A28)),NETWORKDAYS(A28,K28),0)</f>
        <v/>
      </c>
      <c r="O28" s="16">
        <f>IF(AND(ISNUMBER(M28),H28&gt;0),(M28-G28)*H28,0)</f>
        <v/>
      </c>
      <c r="P28" s="17">
        <f>IF(AND(ISNUMBER(M28),G28&gt;0),(M28-G28)/G28,0)</f>
        <v/>
      </c>
      <c r="Q28" s="18">
        <f>IF(J28&gt;0,O28/J28,0)</f>
        <v/>
      </c>
      <c r="R28" s="15">
        <f>IF(O28="","-",IF(O28&gt;0,"WIN",IF(O28&lt;0,"LOSS","FLAT")))</f>
        <v/>
      </c>
    </row>
    <row r="29">
      <c r="A29" s="8" t="inlineStr"/>
      <c r="B29" s="8" t="inlineStr"/>
      <c r="C29" s="9" t="inlineStr"/>
      <c r="D29" s="10" t="inlineStr"/>
      <c r="E29" s="10" t="inlineStr"/>
      <c r="F29" s="11" t="inlineStr"/>
      <c r="G29" s="10" t="inlineStr"/>
      <c r="H29" s="12">
        <f>IF(G29&gt;0,F29/G29,0)</f>
        <v/>
      </c>
      <c r="I29" s="13">
        <f>IF(G29&gt;0,(G29-D29)/D29,0)</f>
        <v/>
      </c>
      <c r="J29" s="14">
        <f>IF(AND(G29&gt;0,E29&gt;0),H29*(G29-E29),0)</f>
        <v/>
      </c>
      <c r="M29" s="19" t="n"/>
      <c r="N29" s="15">
        <f>IF(AND(ISNUMBER(K29),ISNUMBER(A29)),NETWORKDAYS(A29,K29),0)</f>
        <v/>
      </c>
      <c r="O29" s="16">
        <f>IF(AND(ISNUMBER(M29),H29&gt;0),(M29-G29)*H29,0)</f>
        <v/>
      </c>
      <c r="P29" s="17">
        <f>IF(AND(ISNUMBER(M29),G29&gt;0),(M29-G29)/G29,0)</f>
        <v/>
      </c>
      <c r="Q29" s="18">
        <f>IF(J29&gt;0,O29/J29,0)</f>
        <v/>
      </c>
      <c r="R29" s="15">
        <f>IF(O29="","-",IF(O29&gt;0,"WIN",IF(O29&lt;0,"LOSS","FLAT")))</f>
        <v/>
      </c>
    </row>
    <row r="30">
      <c r="A30" s="8" t="inlineStr"/>
      <c r="B30" s="8" t="inlineStr"/>
      <c r="C30" s="9" t="inlineStr"/>
      <c r="D30" s="10" t="inlineStr"/>
      <c r="E30" s="10" t="inlineStr"/>
      <c r="F30" s="11" t="inlineStr"/>
      <c r="G30" s="10" t="inlineStr"/>
      <c r="H30" s="12">
        <f>IF(G30&gt;0,F30/G30,0)</f>
        <v/>
      </c>
      <c r="I30" s="13">
        <f>IF(G30&gt;0,(G30-D30)/D30,0)</f>
        <v/>
      </c>
      <c r="J30" s="14">
        <f>IF(AND(G30&gt;0,E30&gt;0),H30*(G30-E30),0)</f>
        <v/>
      </c>
      <c r="M30" s="19" t="n"/>
      <c r="N30" s="15">
        <f>IF(AND(ISNUMBER(K30),ISNUMBER(A30)),NETWORKDAYS(A30,K30),0)</f>
        <v/>
      </c>
      <c r="O30" s="16">
        <f>IF(AND(ISNUMBER(M30),H30&gt;0),(M30-G30)*H30,0)</f>
        <v/>
      </c>
      <c r="P30" s="17">
        <f>IF(AND(ISNUMBER(M30),G30&gt;0),(M30-G30)/G30,0)</f>
        <v/>
      </c>
      <c r="Q30" s="18">
        <f>IF(J30&gt;0,O30/J30,0)</f>
        <v/>
      </c>
      <c r="R30" s="15">
        <f>IF(O30="","-",IF(O30&gt;0,"WIN",IF(O30&lt;0,"LOSS","FLAT")))</f>
        <v/>
      </c>
    </row>
    <row r="31">
      <c r="A31" s="8" t="inlineStr"/>
      <c r="B31" s="8" t="inlineStr"/>
      <c r="C31" s="9" t="inlineStr"/>
      <c r="D31" s="10" t="inlineStr"/>
      <c r="E31" s="10" t="inlineStr"/>
      <c r="F31" s="11" t="inlineStr"/>
      <c r="G31" s="10" t="inlineStr"/>
      <c r="H31" s="12">
        <f>IF(G31&gt;0,F31/G31,0)</f>
        <v/>
      </c>
      <c r="I31" s="13">
        <f>IF(G31&gt;0,(G31-D31)/D31,0)</f>
        <v/>
      </c>
      <c r="J31" s="14">
        <f>IF(AND(G31&gt;0,E31&gt;0),H31*(G31-E31),0)</f>
        <v/>
      </c>
      <c r="M31" s="19" t="n"/>
      <c r="N31" s="15">
        <f>IF(AND(ISNUMBER(K31),ISNUMBER(A31)),NETWORKDAYS(A31,K31),0)</f>
        <v/>
      </c>
      <c r="O31" s="16">
        <f>IF(AND(ISNUMBER(M31),H31&gt;0),(M31-G31)*H31,0)</f>
        <v/>
      </c>
      <c r="P31" s="17">
        <f>IF(AND(ISNUMBER(M31),G31&gt;0),(M31-G31)/G31,0)</f>
        <v/>
      </c>
      <c r="Q31" s="18">
        <f>IF(J31&gt;0,O31/J31,0)</f>
        <v/>
      </c>
      <c r="R31" s="15">
        <f>IF(O31="","-",IF(O31&gt;0,"WIN",IF(O31&lt;0,"LOSS","FLAT")))</f>
        <v/>
      </c>
    </row>
    <row r="32">
      <c r="A32" s="8" t="inlineStr"/>
      <c r="B32" s="8" t="inlineStr"/>
      <c r="C32" s="9" t="inlineStr"/>
      <c r="D32" s="10" t="inlineStr"/>
      <c r="E32" s="10" t="inlineStr"/>
      <c r="F32" s="11" t="inlineStr"/>
      <c r="G32" s="10" t="inlineStr"/>
      <c r="H32" s="12">
        <f>IF(G32&gt;0,F32/G32,0)</f>
        <v/>
      </c>
      <c r="I32" s="13">
        <f>IF(G32&gt;0,(G32-D32)/D32,0)</f>
        <v/>
      </c>
      <c r="J32" s="14">
        <f>IF(AND(G32&gt;0,E32&gt;0),H32*(G32-E32),0)</f>
        <v/>
      </c>
      <c r="M32" s="19" t="n"/>
      <c r="N32" s="15">
        <f>IF(AND(ISNUMBER(K32),ISNUMBER(A32)),NETWORKDAYS(A32,K32),0)</f>
        <v/>
      </c>
      <c r="O32" s="16">
        <f>IF(AND(ISNUMBER(M32),H32&gt;0),(M32-G32)*H32,0)</f>
        <v/>
      </c>
      <c r="P32" s="17">
        <f>IF(AND(ISNUMBER(M32),G32&gt;0),(M32-G32)/G32,0)</f>
        <v/>
      </c>
      <c r="Q32" s="18">
        <f>IF(J32&gt;0,O32/J32,0)</f>
        <v/>
      </c>
      <c r="R32" s="15">
        <f>IF(O32="","-",IF(O32&gt;0,"WIN",IF(O32&lt;0,"LOSS","FLAT")))</f>
        <v/>
      </c>
    </row>
    <row r="33">
      <c r="A33" s="8" t="inlineStr"/>
      <c r="B33" s="8" t="inlineStr"/>
      <c r="C33" s="9" t="inlineStr"/>
      <c r="D33" s="10" t="inlineStr"/>
      <c r="E33" s="10" t="inlineStr"/>
      <c r="F33" s="11" t="inlineStr"/>
      <c r="G33" s="10" t="inlineStr"/>
      <c r="H33" s="12">
        <f>IF(G33&gt;0,F33/G33,0)</f>
        <v/>
      </c>
      <c r="I33" s="13">
        <f>IF(G33&gt;0,(G33-D33)/D33,0)</f>
        <v/>
      </c>
      <c r="J33" s="14">
        <f>IF(AND(G33&gt;0,E33&gt;0),H33*(G33-E33),0)</f>
        <v/>
      </c>
      <c r="M33" s="19" t="n"/>
      <c r="N33" s="15">
        <f>IF(AND(ISNUMBER(K33),ISNUMBER(A33)),NETWORKDAYS(A33,K33),0)</f>
        <v/>
      </c>
      <c r="O33" s="16">
        <f>IF(AND(ISNUMBER(M33),H33&gt;0),(M33-G33)*H33,0)</f>
        <v/>
      </c>
      <c r="P33" s="17">
        <f>IF(AND(ISNUMBER(M33),G33&gt;0),(M33-G33)/G33,0)</f>
        <v/>
      </c>
      <c r="Q33" s="18">
        <f>IF(J33&gt;0,O33/J33,0)</f>
        <v/>
      </c>
      <c r="R33" s="15">
        <f>IF(O33="","-",IF(O33&gt;0,"WIN",IF(O33&lt;0,"LOSS","FLAT")))</f>
        <v/>
      </c>
    </row>
    <row r="34">
      <c r="A34" s="8" t="inlineStr"/>
      <c r="B34" s="8" t="inlineStr"/>
      <c r="C34" s="9" t="inlineStr"/>
      <c r="D34" s="10" t="inlineStr"/>
      <c r="E34" s="10" t="inlineStr"/>
      <c r="F34" s="11" t="inlineStr"/>
      <c r="G34" s="10" t="inlineStr"/>
      <c r="H34" s="12">
        <f>IF(G34&gt;0,F34/G34,0)</f>
        <v/>
      </c>
      <c r="I34" s="13">
        <f>IF(G34&gt;0,(G34-D34)/D34,0)</f>
        <v/>
      </c>
      <c r="J34" s="14">
        <f>IF(AND(G34&gt;0,E34&gt;0),H34*(G34-E34),0)</f>
        <v/>
      </c>
      <c r="M34" s="19" t="n"/>
      <c r="N34" s="15">
        <f>IF(AND(ISNUMBER(K34),ISNUMBER(A34)),NETWORKDAYS(A34,K34),0)</f>
        <v/>
      </c>
      <c r="O34" s="16">
        <f>IF(AND(ISNUMBER(M34),H34&gt;0),(M34-G34)*H34,0)</f>
        <v/>
      </c>
      <c r="P34" s="17">
        <f>IF(AND(ISNUMBER(M34),G34&gt;0),(M34-G34)/G34,0)</f>
        <v/>
      </c>
      <c r="Q34" s="18">
        <f>IF(J34&gt;0,O34/J34,0)</f>
        <v/>
      </c>
      <c r="R34" s="15">
        <f>IF(O34="","-",IF(O34&gt;0,"WIN",IF(O34&lt;0,"LOSS","FLAT")))</f>
        <v/>
      </c>
    </row>
    <row r="35">
      <c r="A35" s="8" t="inlineStr"/>
      <c r="B35" s="8" t="inlineStr"/>
      <c r="C35" s="9" t="inlineStr"/>
      <c r="D35" s="10" t="inlineStr"/>
      <c r="E35" s="10" t="inlineStr"/>
      <c r="F35" s="11" t="inlineStr"/>
      <c r="G35" s="10" t="inlineStr"/>
      <c r="H35" s="12">
        <f>IF(G35&gt;0,F35/G35,0)</f>
        <v/>
      </c>
      <c r="I35" s="13">
        <f>IF(G35&gt;0,(G35-D35)/D35,0)</f>
        <v/>
      </c>
      <c r="J35" s="14">
        <f>IF(AND(G35&gt;0,E35&gt;0),H35*(G35-E35),0)</f>
        <v/>
      </c>
      <c r="M35" s="19" t="n"/>
      <c r="N35" s="15">
        <f>IF(AND(ISNUMBER(K35),ISNUMBER(A35)),NETWORKDAYS(A35,K35),0)</f>
        <v/>
      </c>
      <c r="O35" s="16">
        <f>IF(AND(ISNUMBER(M35),H35&gt;0),(M35-G35)*H35,0)</f>
        <v/>
      </c>
      <c r="P35" s="17">
        <f>IF(AND(ISNUMBER(M35),G35&gt;0),(M35-G35)/G35,0)</f>
        <v/>
      </c>
      <c r="Q35" s="18">
        <f>IF(J35&gt;0,O35/J35,0)</f>
        <v/>
      </c>
      <c r="R35" s="15">
        <f>IF(O35="","-",IF(O35&gt;0,"WIN",IF(O35&lt;0,"LOSS","FLAT")))</f>
        <v/>
      </c>
    </row>
    <row r="36">
      <c r="A36" s="8" t="inlineStr"/>
      <c r="B36" s="8" t="inlineStr"/>
      <c r="C36" s="9" t="inlineStr"/>
      <c r="D36" s="10" t="inlineStr"/>
      <c r="E36" s="10" t="inlineStr"/>
      <c r="F36" s="11" t="inlineStr"/>
      <c r="G36" s="10" t="inlineStr"/>
      <c r="H36" s="12">
        <f>IF(G36&gt;0,F36/G36,0)</f>
        <v/>
      </c>
      <c r="I36" s="13">
        <f>IF(G36&gt;0,(G36-D36)/D36,0)</f>
        <v/>
      </c>
      <c r="J36" s="14">
        <f>IF(AND(G36&gt;0,E36&gt;0),H36*(G36-E36),0)</f>
        <v/>
      </c>
      <c r="M36" s="19" t="n"/>
      <c r="N36" s="15">
        <f>IF(AND(ISNUMBER(K36),ISNUMBER(A36)),NETWORKDAYS(A36,K36),0)</f>
        <v/>
      </c>
      <c r="O36" s="16">
        <f>IF(AND(ISNUMBER(M36),H36&gt;0),(M36-G36)*H36,0)</f>
        <v/>
      </c>
      <c r="P36" s="17">
        <f>IF(AND(ISNUMBER(M36),G36&gt;0),(M36-G36)/G36,0)</f>
        <v/>
      </c>
      <c r="Q36" s="18">
        <f>IF(J36&gt;0,O36/J36,0)</f>
        <v/>
      </c>
      <c r="R36" s="15">
        <f>IF(O36="","-",IF(O36&gt;0,"WIN",IF(O36&lt;0,"LOSS","FLAT")))</f>
        <v/>
      </c>
    </row>
    <row r="37">
      <c r="A37" s="8" t="inlineStr"/>
      <c r="B37" s="8" t="inlineStr"/>
      <c r="C37" s="9" t="inlineStr"/>
      <c r="D37" s="10" t="inlineStr"/>
      <c r="E37" s="10" t="inlineStr"/>
      <c r="F37" s="11" t="inlineStr"/>
      <c r="G37" s="10" t="inlineStr"/>
      <c r="H37" s="12">
        <f>IF(G37&gt;0,F37/G37,0)</f>
        <v/>
      </c>
      <c r="I37" s="13">
        <f>IF(G37&gt;0,(G37-D37)/D37,0)</f>
        <v/>
      </c>
      <c r="J37" s="14">
        <f>IF(AND(G37&gt;0,E37&gt;0),H37*(G37-E37),0)</f>
        <v/>
      </c>
      <c r="M37" s="19" t="n"/>
      <c r="N37" s="15">
        <f>IF(AND(ISNUMBER(K37),ISNUMBER(A37)),NETWORKDAYS(A37,K37),0)</f>
        <v/>
      </c>
      <c r="O37" s="16">
        <f>IF(AND(ISNUMBER(M37),H37&gt;0),(M37-G37)*H37,0)</f>
        <v/>
      </c>
      <c r="P37" s="17">
        <f>IF(AND(ISNUMBER(M37),G37&gt;0),(M37-G37)/G37,0)</f>
        <v/>
      </c>
      <c r="Q37" s="18">
        <f>IF(J37&gt;0,O37/J37,0)</f>
        <v/>
      </c>
      <c r="R37" s="15">
        <f>IF(O37="","-",IF(O37&gt;0,"WIN",IF(O37&lt;0,"LOSS","FLAT")))</f>
        <v/>
      </c>
    </row>
    <row r="38">
      <c r="A38" s="8" t="inlineStr"/>
      <c r="B38" s="8" t="inlineStr"/>
      <c r="C38" s="9" t="inlineStr"/>
      <c r="D38" s="10" t="inlineStr"/>
      <c r="E38" s="10" t="inlineStr"/>
      <c r="F38" s="11" t="inlineStr"/>
      <c r="G38" s="10" t="inlineStr"/>
      <c r="H38" s="12">
        <f>IF(G38&gt;0,F38/G38,0)</f>
        <v/>
      </c>
      <c r="I38" s="13">
        <f>IF(G38&gt;0,(G38-D38)/D38,0)</f>
        <v/>
      </c>
      <c r="J38" s="14">
        <f>IF(AND(G38&gt;0,E38&gt;0),H38*(G38-E38),0)</f>
        <v/>
      </c>
      <c r="M38" s="19" t="n"/>
      <c r="N38" s="15">
        <f>IF(AND(ISNUMBER(K38),ISNUMBER(A38)),NETWORKDAYS(A38,K38),0)</f>
        <v/>
      </c>
      <c r="O38" s="16">
        <f>IF(AND(ISNUMBER(M38),H38&gt;0),(M38-G38)*H38,0)</f>
        <v/>
      </c>
      <c r="P38" s="17">
        <f>IF(AND(ISNUMBER(M38),G38&gt;0),(M38-G38)/G38,0)</f>
        <v/>
      </c>
      <c r="Q38" s="18">
        <f>IF(J38&gt;0,O38/J38,0)</f>
        <v/>
      </c>
      <c r="R38" s="15">
        <f>IF(O38="","-",IF(O38&gt;0,"WIN",IF(O38&lt;0,"LOSS","FLAT")))</f>
        <v/>
      </c>
    </row>
    <row r="39">
      <c r="A39" s="8" t="inlineStr"/>
      <c r="B39" s="8" t="inlineStr"/>
      <c r="C39" s="9" t="inlineStr"/>
      <c r="D39" s="10" t="inlineStr"/>
      <c r="E39" s="10" t="inlineStr"/>
      <c r="F39" s="11" t="inlineStr"/>
      <c r="G39" s="10" t="inlineStr"/>
      <c r="H39" s="12">
        <f>IF(G39&gt;0,F39/G39,0)</f>
        <v/>
      </c>
      <c r="I39" s="13">
        <f>IF(G39&gt;0,(G39-D39)/D39,0)</f>
        <v/>
      </c>
      <c r="J39" s="14">
        <f>IF(AND(G39&gt;0,E39&gt;0),H39*(G39-E39),0)</f>
        <v/>
      </c>
      <c r="M39" s="19" t="n"/>
      <c r="N39" s="15">
        <f>IF(AND(ISNUMBER(K39),ISNUMBER(A39)),NETWORKDAYS(A39,K39),0)</f>
        <v/>
      </c>
      <c r="O39" s="16">
        <f>IF(AND(ISNUMBER(M39),H39&gt;0),(M39-G39)*H39,0)</f>
        <v/>
      </c>
      <c r="P39" s="17">
        <f>IF(AND(ISNUMBER(M39),G39&gt;0),(M39-G39)/G39,0)</f>
        <v/>
      </c>
      <c r="Q39" s="18">
        <f>IF(J39&gt;0,O39/J39,0)</f>
        <v/>
      </c>
      <c r="R39" s="15">
        <f>IF(O39="","-",IF(O39&gt;0,"WIN",IF(O39&lt;0,"LOSS","FLAT")))</f>
        <v/>
      </c>
    </row>
    <row r="40">
      <c r="A40" s="8" t="inlineStr"/>
      <c r="B40" s="8" t="inlineStr"/>
      <c r="C40" s="9" t="inlineStr"/>
      <c r="D40" s="10" t="inlineStr"/>
      <c r="E40" s="10" t="inlineStr"/>
      <c r="F40" s="11" t="inlineStr"/>
      <c r="G40" s="10" t="inlineStr"/>
      <c r="H40" s="12">
        <f>IF(G40&gt;0,F40/G40,0)</f>
        <v/>
      </c>
      <c r="I40" s="13">
        <f>IF(G40&gt;0,(G40-D40)/D40,0)</f>
        <v/>
      </c>
      <c r="J40" s="14">
        <f>IF(AND(G40&gt;0,E40&gt;0),H40*(G40-E40),0)</f>
        <v/>
      </c>
      <c r="M40" s="19" t="n"/>
      <c r="N40" s="15">
        <f>IF(AND(ISNUMBER(K40),ISNUMBER(A40)),NETWORKDAYS(A40,K40),0)</f>
        <v/>
      </c>
      <c r="O40" s="16">
        <f>IF(AND(ISNUMBER(M40),H40&gt;0),(M40-G40)*H40,0)</f>
        <v/>
      </c>
      <c r="P40" s="17">
        <f>IF(AND(ISNUMBER(M40),G40&gt;0),(M40-G40)/G40,0)</f>
        <v/>
      </c>
      <c r="Q40" s="18">
        <f>IF(J40&gt;0,O40/J40,0)</f>
        <v/>
      </c>
      <c r="R40" s="15">
        <f>IF(O40="","-",IF(O40&gt;0,"WIN",IF(O40&lt;0,"LOSS","FLAT")))</f>
        <v/>
      </c>
    </row>
    <row r="41">
      <c r="A41" s="8" t="inlineStr"/>
      <c r="B41" s="8" t="inlineStr"/>
      <c r="C41" s="9" t="inlineStr"/>
      <c r="D41" s="10" t="inlineStr"/>
      <c r="E41" s="10" t="inlineStr"/>
      <c r="F41" s="11" t="inlineStr"/>
      <c r="G41" s="10" t="inlineStr"/>
      <c r="H41" s="12">
        <f>IF(G41&gt;0,F41/G41,0)</f>
        <v/>
      </c>
      <c r="I41" s="13">
        <f>IF(G41&gt;0,(G41-D41)/D41,0)</f>
        <v/>
      </c>
      <c r="J41" s="14">
        <f>IF(AND(G41&gt;0,E41&gt;0),H41*(G41-E41),0)</f>
        <v/>
      </c>
      <c r="M41" s="19" t="n"/>
      <c r="N41" s="15">
        <f>IF(AND(ISNUMBER(K41),ISNUMBER(A41)),NETWORKDAYS(A41,K41),0)</f>
        <v/>
      </c>
      <c r="O41" s="16">
        <f>IF(AND(ISNUMBER(M41),H41&gt;0),(M41-G41)*H41,0)</f>
        <v/>
      </c>
      <c r="P41" s="17">
        <f>IF(AND(ISNUMBER(M41),G41&gt;0),(M41-G41)/G41,0)</f>
        <v/>
      </c>
      <c r="Q41" s="18">
        <f>IF(J41&gt;0,O41/J41,0)</f>
        <v/>
      </c>
      <c r="R41" s="15">
        <f>IF(O41="","-",IF(O41&gt;0,"WIN",IF(O41&lt;0,"LOSS","FLAT")))</f>
        <v/>
      </c>
    </row>
    <row r="42">
      <c r="A42" s="8" t="inlineStr"/>
      <c r="B42" s="8" t="inlineStr"/>
      <c r="C42" s="9" t="inlineStr"/>
      <c r="D42" s="10" t="inlineStr"/>
      <c r="E42" s="10" t="inlineStr"/>
      <c r="F42" s="11" t="inlineStr"/>
      <c r="G42" s="10" t="inlineStr"/>
      <c r="H42" s="12">
        <f>IF(G42&gt;0,F42/G42,0)</f>
        <v/>
      </c>
      <c r="I42" s="13">
        <f>IF(G42&gt;0,(G42-D42)/D42,0)</f>
        <v/>
      </c>
      <c r="J42" s="14">
        <f>IF(AND(G42&gt;0,E42&gt;0),H42*(G42-E42),0)</f>
        <v/>
      </c>
      <c r="M42" s="19" t="n"/>
      <c r="N42" s="15">
        <f>IF(AND(ISNUMBER(K42),ISNUMBER(A42)),NETWORKDAYS(A42,K42),0)</f>
        <v/>
      </c>
      <c r="O42" s="16">
        <f>IF(AND(ISNUMBER(M42),H42&gt;0),(M42-G42)*H42,0)</f>
        <v/>
      </c>
      <c r="P42" s="17">
        <f>IF(AND(ISNUMBER(M42),G42&gt;0),(M42-G42)/G42,0)</f>
        <v/>
      </c>
      <c r="Q42" s="18">
        <f>IF(J42&gt;0,O42/J42,0)</f>
        <v/>
      </c>
      <c r="R42" s="15">
        <f>IF(O42="","-",IF(O42&gt;0,"WIN",IF(O42&lt;0,"LOSS","FLAT")))</f>
        <v/>
      </c>
    </row>
    <row r="43">
      <c r="A43" s="8" t="inlineStr"/>
      <c r="B43" s="8" t="inlineStr"/>
      <c r="C43" s="9" t="inlineStr"/>
      <c r="D43" s="10" t="inlineStr"/>
      <c r="E43" s="10" t="inlineStr"/>
      <c r="F43" s="11" t="inlineStr"/>
      <c r="G43" s="10" t="inlineStr"/>
      <c r="H43" s="12">
        <f>IF(G43&gt;0,F43/G43,0)</f>
        <v/>
      </c>
      <c r="I43" s="13">
        <f>IF(G43&gt;0,(G43-D43)/D43,0)</f>
        <v/>
      </c>
      <c r="J43" s="14">
        <f>IF(AND(G43&gt;0,E43&gt;0),H43*(G43-E43),0)</f>
        <v/>
      </c>
      <c r="M43" s="19" t="n"/>
      <c r="N43" s="15">
        <f>IF(AND(ISNUMBER(K43),ISNUMBER(A43)),NETWORKDAYS(A43,K43),0)</f>
        <v/>
      </c>
      <c r="O43" s="16">
        <f>IF(AND(ISNUMBER(M43),H43&gt;0),(M43-G43)*H43,0)</f>
        <v/>
      </c>
      <c r="P43" s="17">
        <f>IF(AND(ISNUMBER(M43),G43&gt;0),(M43-G43)/G43,0)</f>
        <v/>
      </c>
      <c r="Q43" s="18">
        <f>IF(J43&gt;0,O43/J43,0)</f>
        <v/>
      </c>
      <c r="R43" s="15">
        <f>IF(O43="","-",IF(O43&gt;0,"WIN",IF(O43&lt;0,"LOSS","FLAT")))</f>
        <v/>
      </c>
    </row>
    <row r="44">
      <c r="A44" s="8" t="inlineStr"/>
      <c r="B44" s="8" t="inlineStr"/>
      <c r="C44" s="9" t="inlineStr"/>
      <c r="D44" s="10" t="inlineStr"/>
      <c r="E44" s="10" t="inlineStr"/>
      <c r="F44" s="11" t="inlineStr"/>
      <c r="G44" s="10" t="inlineStr"/>
      <c r="H44" s="12">
        <f>IF(G44&gt;0,F44/G44,0)</f>
        <v/>
      </c>
      <c r="I44" s="13">
        <f>IF(G44&gt;0,(G44-D44)/D44,0)</f>
        <v/>
      </c>
      <c r="J44" s="14">
        <f>IF(AND(G44&gt;0,E44&gt;0),H44*(G44-E44),0)</f>
        <v/>
      </c>
      <c r="M44" s="19" t="n"/>
      <c r="N44" s="15">
        <f>IF(AND(ISNUMBER(K44),ISNUMBER(A44)),NETWORKDAYS(A44,K44),0)</f>
        <v/>
      </c>
      <c r="O44" s="16">
        <f>IF(AND(ISNUMBER(M44),H44&gt;0),(M44-G44)*H44,0)</f>
        <v/>
      </c>
      <c r="P44" s="17">
        <f>IF(AND(ISNUMBER(M44),G44&gt;0),(M44-G44)/G44,0)</f>
        <v/>
      </c>
      <c r="Q44" s="18">
        <f>IF(J44&gt;0,O44/J44,0)</f>
        <v/>
      </c>
      <c r="R44" s="15">
        <f>IF(O44="","-",IF(O44&gt;0,"WIN",IF(O44&lt;0,"LOSS","FLAT")))</f>
        <v/>
      </c>
    </row>
    <row r="45">
      <c r="A45" s="8" t="inlineStr"/>
      <c r="B45" s="8" t="inlineStr"/>
      <c r="C45" s="9" t="inlineStr"/>
      <c r="D45" s="10" t="inlineStr"/>
      <c r="E45" s="10" t="inlineStr"/>
      <c r="F45" s="11" t="inlineStr"/>
      <c r="G45" s="10" t="inlineStr"/>
      <c r="H45" s="12">
        <f>IF(G45&gt;0,F45/G45,0)</f>
        <v/>
      </c>
      <c r="I45" s="13">
        <f>IF(G45&gt;0,(G45-D45)/D45,0)</f>
        <v/>
      </c>
      <c r="J45" s="14">
        <f>IF(AND(G45&gt;0,E45&gt;0),H45*(G45-E45),0)</f>
        <v/>
      </c>
      <c r="M45" s="19" t="n"/>
      <c r="N45" s="15">
        <f>IF(AND(ISNUMBER(K45),ISNUMBER(A45)),NETWORKDAYS(A45,K45),0)</f>
        <v/>
      </c>
      <c r="O45" s="16">
        <f>IF(AND(ISNUMBER(M45),H45&gt;0),(M45-G45)*H45,0)</f>
        <v/>
      </c>
      <c r="P45" s="17">
        <f>IF(AND(ISNUMBER(M45),G45&gt;0),(M45-G45)/G45,0)</f>
        <v/>
      </c>
      <c r="Q45" s="18">
        <f>IF(J45&gt;0,O45/J45,0)</f>
        <v/>
      </c>
      <c r="R45" s="15">
        <f>IF(O45="","-",IF(O45&gt;0,"WIN",IF(O45&lt;0,"LOSS","FLAT")))</f>
        <v/>
      </c>
    </row>
    <row r="46">
      <c r="A46" s="8" t="inlineStr"/>
      <c r="B46" s="8" t="inlineStr"/>
      <c r="C46" s="9" t="inlineStr"/>
      <c r="D46" s="10" t="inlineStr"/>
      <c r="E46" s="10" t="inlineStr"/>
      <c r="F46" s="11" t="inlineStr"/>
      <c r="G46" s="10" t="inlineStr"/>
      <c r="H46" s="12">
        <f>IF(G46&gt;0,F46/G46,0)</f>
        <v/>
      </c>
      <c r="I46" s="13">
        <f>IF(G46&gt;0,(G46-D46)/D46,0)</f>
        <v/>
      </c>
      <c r="J46" s="14">
        <f>IF(AND(G46&gt;0,E46&gt;0),H46*(G46-E46),0)</f>
        <v/>
      </c>
      <c r="M46" s="19" t="n"/>
      <c r="N46" s="15">
        <f>IF(AND(ISNUMBER(K46),ISNUMBER(A46)),NETWORKDAYS(A46,K46),0)</f>
        <v/>
      </c>
      <c r="O46" s="16">
        <f>IF(AND(ISNUMBER(M46),H46&gt;0),(M46-G46)*H46,0)</f>
        <v/>
      </c>
      <c r="P46" s="17">
        <f>IF(AND(ISNUMBER(M46),G46&gt;0),(M46-G46)/G46,0)</f>
        <v/>
      </c>
      <c r="Q46" s="18">
        <f>IF(J46&gt;0,O46/J46,0)</f>
        <v/>
      </c>
      <c r="R46" s="15">
        <f>IF(O46="","-",IF(O46&gt;0,"WIN",IF(O46&lt;0,"LOSS","FLAT")))</f>
        <v/>
      </c>
    </row>
    <row r="47">
      <c r="A47" s="8" t="inlineStr"/>
      <c r="B47" s="8" t="inlineStr"/>
      <c r="C47" s="9" t="inlineStr"/>
      <c r="D47" s="10" t="inlineStr"/>
      <c r="E47" s="10" t="inlineStr"/>
      <c r="F47" s="11" t="inlineStr"/>
      <c r="G47" s="10" t="inlineStr"/>
      <c r="H47" s="12">
        <f>IF(G47&gt;0,F47/G47,0)</f>
        <v/>
      </c>
      <c r="I47" s="13">
        <f>IF(G47&gt;0,(G47-D47)/D47,0)</f>
        <v/>
      </c>
      <c r="J47" s="14">
        <f>IF(AND(G47&gt;0,E47&gt;0),H47*(G47-E47),0)</f>
        <v/>
      </c>
      <c r="M47" s="19" t="n"/>
      <c r="N47" s="15">
        <f>IF(AND(ISNUMBER(K47),ISNUMBER(A47)),NETWORKDAYS(A47,K47),0)</f>
        <v/>
      </c>
      <c r="O47" s="16">
        <f>IF(AND(ISNUMBER(M47),H47&gt;0),(M47-G47)*H47,0)</f>
        <v/>
      </c>
      <c r="P47" s="17">
        <f>IF(AND(ISNUMBER(M47),G47&gt;0),(M47-G47)/G47,0)</f>
        <v/>
      </c>
      <c r="Q47" s="18">
        <f>IF(J47&gt;0,O47/J47,0)</f>
        <v/>
      </c>
      <c r="R47" s="15">
        <f>IF(O47="","-",IF(O47&gt;0,"WIN",IF(O47&lt;0,"LOSS","FLAT")))</f>
        <v/>
      </c>
    </row>
    <row r="48">
      <c r="A48" s="8" t="inlineStr"/>
      <c r="B48" s="8" t="inlineStr"/>
      <c r="C48" s="9" t="inlineStr"/>
      <c r="D48" s="10" t="inlineStr"/>
      <c r="E48" s="10" t="inlineStr"/>
      <c r="F48" s="11" t="inlineStr"/>
      <c r="G48" s="10" t="inlineStr"/>
      <c r="H48" s="12">
        <f>IF(G48&gt;0,F48/G48,0)</f>
        <v/>
      </c>
      <c r="I48" s="13">
        <f>IF(G48&gt;0,(G48-D48)/D48,0)</f>
        <v/>
      </c>
      <c r="J48" s="14">
        <f>IF(AND(G48&gt;0,E48&gt;0),H48*(G48-E48),0)</f>
        <v/>
      </c>
      <c r="M48" s="19" t="n"/>
      <c r="N48" s="15">
        <f>IF(AND(ISNUMBER(K48),ISNUMBER(A48)),NETWORKDAYS(A48,K48),0)</f>
        <v/>
      </c>
      <c r="O48" s="16">
        <f>IF(AND(ISNUMBER(M48),H48&gt;0),(M48-G48)*H48,0)</f>
        <v/>
      </c>
      <c r="P48" s="17">
        <f>IF(AND(ISNUMBER(M48),G48&gt;0),(M48-G48)/G48,0)</f>
        <v/>
      </c>
      <c r="Q48" s="18">
        <f>IF(J48&gt;0,O48/J48,0)</f>
        <v/>
      </c>
      <c r="R48" s="15">
        <f>IF(O48="","-",IF(O48&gt;0,"WIN",IF(O48&lt;0,"LOSS","FLAT")))</f>
        <v/>
      </c>
    </row>
    <row r="49">
      <c r="A49" s="8" t="inlineStr"/>
      <c r="B49" s="8" t="inlineStr"/>
      <c r="C49" s="9" t="inlineStr"/>
      <c r="D49" s="10" t="inlineStr"/>
      <c r="E49" s="10" t="inlineStr"/>
      <c r="F49" s="11" t="inlineStr"/>
      <c r="G49" s="10" t="inlineStr"/>
      <c r="H49" s="12">
        <f>IF(G49&gt;0,F49/G49,0)</f>
        <v/>
      </c>
      <c r="I49" s="13">
        <f>IF(G49&gt;0,(G49-D49)/D49,0)</f>
        <v/>
      </c>
      <c r="J49" s="14">
        <f>IF(AND(G49&gt;0,E49&gt;0),H49*(G49-E49),0)</f>
        <v/>
      </c>
      <c r="M49" s="19" t="n"/>
      <c r="N49" s="15">
        <f>IF(AND(ISNUMBER(K49),ISNUMBER(A49)),NETWORKDAYS(A49,K49),0)</f>
        <v/>
      </c>
      <c r="O49" s="16">
        <f>IF(AND(ISNUMBER(M49),H49&gt;0),(M49-G49)*H49,0)</f>
        <v/>
      </c>
      <c r="P49" s="17">
        <f>IF(AND(ISNUMBER(M49),G49&gt;0),(M49-G49)/G49,0)</f>
        <v/>
      </c>
      <c r="Q49" s="18">
        <f>IF(J49&gt;0,O49/J49,0)</f>
        <v/>
      </c>
      <c r="R49" s="15">
        <f>IF(O49="","-",IF(O49&gt;0,"WIN",IF(O49&lt;0,"LOSS","FLAT")))</f>
        <v/>
      </c>
    </row>
    <row r="50">
      <c r="A50" s="8" t="inlineStr"/>
      <c r="B50" s="8" t="inlineStr"/>
      <c r="C50" s="9" t="inlineStr"/>
      <c r="D50" s="10" t="inlineStr"/>
      <c r="E50" s="10" t="inlineStr"/>
      <c r="F50" s="11" t="inlineStr"/>
      <c r="G50" s="10" t="inlineStr"/>
      <c r="H50" s="12">
        <f>IF(G50&gt;0,F50/G50,0)</f>
        <v/>
      </c>
      <c r="I50" s="13">
        <f>IF(G50&gt;0,(G50-D50)/D50,0)</f>
        <v/>
      </c>
      <c r="J50" s="14">
        <f>IF(AND(G50&gt;0,E50&gt;0),H50*(G50-E50),0)</f>
        <v/>
      </c>
      <c r="M50" s="19" t="n"/>
      <c r="N50" s="15">
        <f>IF(AND(ISNUMBER(K50),ISNUMBER(A50)),NETWORKDAYS(A50,K50),0)</f>
        <v/>
      </c>
      <c r="O50" s="16">
        <f>IF(AND(ISNUMBER(M50),H50&gt;0),(M50-G50)*H50,0)</f>
        <v/>
      </c>
      <c r="P50" s="17">
        <f>IF(AND(ISNUMBER(M50),G50&gt;0),(M50-G50)/G50,0)</f>
        <v/>
      </c>
      <c r="Q50" s="18">
        <f>IF(J50&gt;0,O50/J50,0)</f>
        <v/>
      </c>
      <c r="R50" s="15">
        <f>IF(O50="","-",IF(O50&gt;0,"WIN",IF(O50&lt;0,"LOSS","FLAT")))</f>
        <v/>
      </c>
    </row>
    <row r="51">
      <c r="A51" s="8" t="inlineStr"/>
      <c r="B51" s="8" t="inlineStr"/>
      <c r="C51" s="9" t="inlineStr"/>
      <c r="D51" s="10" t="inlineStr"/>
      <c r="E51" s="10" t="inlineStr"/>
      <c r="F51" s="11" t="inlineStr"/>
      <c r="G51" s="10" t="inlineStr"/>
      <c r="H51" s="12">
        <f>IF(G51&gt;0,F51/G51,0)</f>
        <v/>
      </c>
      <c r="I51" s="13">
        <f>IF(G51&gt;0,(G51-D51)/D51,0)</f>
        <v/>
      </c>
      <c r="J51" s="14">
        <f>IF(AND(G51&gt;0,E51&gt;0),H51*(G51-E51),0)</f>
        <v/>
      </c>
      <c r="M51" s="19" t="n"/>
      <c r="N51" s="15">
        <f>IF(AND(ISNUMBER(K51),ISNUMBER(A51)),NETWORKDAYS(A51,K51),0)</f>
        <v/>
      </c>
      <c r="O51" s="16">
        <f>IF(AND(ISNUMBER(M51),H51&gt;0),(M51-G51)*H51,0)</f>
        <v/>
      </c>
      <c r="P51" s="17">
        <f>IF(AND(ISNUMBER(M51),G51&gt;0),(M51-G51)/G51,0)</f>
        <v/>
      </c>
      <c r="Q51" s="18">
        <f>IF(J51&gt;0,O51/J51,0)</f>
        <v/>
      </c>
      <c r="R51" s="15">
        <f>IF(O51="","-",IF(O51&gt;0,"WIN",IF(O51&lt;0,"LOSS","FLAT")))</f>
        <v/>
      </c>
    </row>
    <row r="52">
      <c r="A52" s="8" t="inlineStr"/>
      <c r="B52" s="8" t="inlineStr"/>
      <c r="C52" s="9" t="inlineStr"/>
      <c r="D52" s="10" t="inlineStr"/>
      <c r="E52" s="10" t="inlineStr"/>
      <c r="F52" s="11" t="inlineStr"/>
      <c r="G52" s="10" t="inlineStr"/>
      <c r="H52" s="12">
        <f>IF(G52&gt;0,F52/G52,0)</f>
        <v/>
      </c>
      <c r="I52" s="13">
        <f>IF(G52&gt;0,(G52-D52)/D52,0)</f>
        <v/>
      </c>
      <c r="J52" s="14">
        <f>IF(AND(G52&gt;0,E52&gt;0),H52*(G52-E52),0)</f>
        <v/>
      </c>
      <c r="M52" s="19" t="n"/>
      <c r="N52" s="15">
        <f>IF(AND(ISNUMBER(K52),ISNUMBER(A52)),NETWORKDAYS(A52,K52),0)</f>
        <v/>
      </c>
      <c r="O52" s="16">
        <f>IF(AND(ISNUMBER(M52),H52&gt;0),(M52-G52)*H52,0)</f>
        <v/>
      </c>
      <c r="P52" s="17">
        <f>IF(AND(ISNUMBER(M52),G52&gt;0),(M52-G52)/G52,0)</f>
        <v/>
      </c>
      <c r="Q52" s="18">
        <f>IF(J52&gt;0,O52/J52,0)</f>
        <v/>
      </c>
      <c r="R52" s="15">
        <f>IF(O52="","-",IF(O52&gt;0,"WIN",IF(O52&lt;0,"LOSS","FLAT")))</f>
        <v/>
      </c>
    </row>
    <row r="53">
      <c r="A53" s="8" t="inlineStr"/>
      <c r="B53" s="8" t="inlineStr"/>
      <c r="C53" s="9" t="inlineStr"/>
      <c r="D53" s="10" t="inlineStr"/>
      <c r="E53" s="10" t="inlineStr"/>
      <c r="F53" s="11" t="inlineStr"/>
      <c r="G53" s="10" t="inlineStr"/>
      <c r="H53" s="12">
        <f>IF(G53&gt;0,F53/G53,0)</f>
        <v/>
      </c>
      <c r="I53" s="13">
        <f>IF(G53&gt;0,(G53-D53)/D53,0)</f>
        <v/>
      </c>
      <c r="J53" s="14">
        <f>IF(AND(G53&gt;0,E53&gt;0),H53*(G53-E53),0)</f>
        <v/>
      </c>
      <c r="M53" s="19" t="n"/>
      <c r="N53" s="15">
        <f>IF(AND(ISNUMBER(K53),ISNUMBER(A53)),NETWORKDAYS(A53,K53),0)</f>
        <v/>
      </c>
      <c r="O53" s="16">
        <f>IF(AND(ISNUMBER(M53),H53&gt;0),(M53-G53)*H53,0)</f>
        <v/>
      </c>
      <c r="P53" s="17">
        <f>IF(AND(ISNUMBER(M53),G53&gt;0),(M53-G53)/G53,0)</f>
        <v/>
      </c>
      <c r="Q53" s="18">
        <f>IF(J53&gt;0,O53/J53,0)</f>
        <v/>
      </c>
      <c r="R53" s="15">
        <f>IF(O53="","-",IF(O53&gt;0,"WIN",IF(O53&lt;0,"LOSS","FLAT")))</f>
        <v/>
      </c>
    </row>
    <row r="54">
      <c r="A54" s="8" t="inlineStr"/>
      <c r="B54" s="8" t="inlineStr"/>
      <c r="C54" s="9" t="inlineStr"/>
      <c r="D54" s="10" t="inlineStr"/>
      <c r="E54" s="10" t="inlineStr"/>
      <c r="F54" s="11" t="inlineStr"/>
      <c r="G54" s="10" t="inlineStr"/>
      <c r="H54" s="12">
        <f>IF(G54&gt;0,F54/G54,0)</f>
        <v/>
      </c>
      <c r="I54" s="13">
        <f>IF(G54&gt;0,(G54-D54)/D54,0)</f>
        <v/>
      </c>
      <c r="J54" s="14">
        <f>IF(AND(G54&gt;0,E54&gt;0),H54*(G54-E54),0)</f>
        <v/>
      </c>
      <c r="M54" s="19" t="n"/>
      <c r="N54" s="15">
        <f>IF(AND(ISNUMBER(K54),ISNUMBER(A54)),NETWORKDAYS(A54,K54),0)</f>
        <v/>
      </c>
      <c r="O54" s="16">
        <f>IF(AND(ISNUMBER(M54),H54&gt;0),(M54-G54)*H54,0)</f>
        <v/>
      </c>
      <c r="P54" s="17">
        <f>IF(AND(ISNUMBER(M54),G54&gt;0),(M54-G54)/G54,0)</f>
        <v/>
      </c>
      <c r="Q54" s="18">
        <f>IF(J54&gt;0,O54/J54,0)</f>
        <v/>
      </c>
      <c r="R54" s="15">
        <f>IF(O54="","-",IF(O54&gt;0,"WIN",IF(O54&lt;0,"LOSS","FLAT")))</f>
        <v/>
      </c>
    </row>
    <row r="55">
      <c r="A55" s="8" t="inlineStr"/>
      <c r="B55" s="8" t="inlineStr"/>
      <c r="C55" s="9" t="inlineStr"/>
      <c r="D55" s="10" t="inlineStr"/>
      <c r="E55" s="10" t="inlineStr"/>
      <c r="F55" s="11" t="inlineStr"/>
      <c r="G55" s="10" t="inlineStr"/>
      <c r="H55" s="12">
        <f>IF(G55&gt;0,F55/G55,0)</f>
        <v/>
      </c>
      <c r="I55" s="13">
        <f>IF(G55&gt;0,(G55-D55)/D55,0)</f>
        <v/>
      </c>
      <c r="J55" s="14">
        <f>IF(AND(G55&gt;0,E55&gt;0),H55*(G55-E55),0)</f>
        <v/>
      </c>
      <c r="M55" s="19" t="n"/>
      <c r="N55" s="15">
        <f>IF(AND(ISNUMBER(K55),ISNUMBER(A55)),NETWORKDAYS(A55,K55),0)</f>
        <v/>
      </c>
      <c r="O55" s="16">
        <f>IF(AND(ISNUMBER(M55),H55&gt;0),(M55-G55)*H55,0)</f>
        <v/>
      </c>
      <c r="P55" s="17">
        <f>IF(AND(ISNUMBER(M55),G55&gt;0),(M55-G55)/G55,0)</f>
        <v/>
      </c>
      <c r="Q55" s="18">
        <f>IF(J55&gt;0,O55/J55,0)</f>
        <v/>
      </c>
      <c r="R55" s="15">
        <f>IF(O55="","-",IF(O55&gt;0,"WIN",IF(O55&lt;0,"LOSS","FLAT")))</f>
        <v/>
      </c>
    </row>
    <row r="56">
      <c r="A56" s="8" t="inlineStr"/>
      <c r="B56" s="8" t="inlineStr"/>
      <c r="C56" s="9" t="inlineStr"/>
      <c r="D56" s="10" t="inlineStr"/>
      <c r="E56" s="10" t="inlineStr"/>
      <c r="F56" s="11" t="inlineStr"/>
      <c r="G56" s="10" t="inlineStr"/>
      <c r="H56" s="12">
        <f>IF(G56&gt;0,F56/G56,0)</f>
        <v/>
      </c>
      <c r="I56" s="13">
        <f>IF(G56&gt;0,(G56-D56)/D56,0)</f>
        <v/>
      </c>
      <c r="J56" s="14">
        <f>IF(AND(G56&gt;0,E56&gt;0),H56*(G56-E56),0)</f>
        <v/>
      </c>
      <c r="M56" s="19" t="n"/>
      <c r="N56" s="15">
        <f>IF(AND(ISNUMBER(K56),ISNUMBER(A56)),NETWORKDAYS(A56,K56),0)</f>
        <v/>
      </c>
      <c r="O56" s="16">
        <f>IF(AND(ISNUMBER(M56),H56&gt;0),(M56-G56)*H56,0)</f>
        <v/>
      </c>
      <c r="P56" s="17">
        <f>IF(AND(ISNUMBER(M56),G56&gt;0),(M56-G56)/G56,0)</f>
        <v/>
      </c>
      <c r="Q56" s="18">
        <f>IF(J56&gt;0,O56/J56,0)</f>
        <v/>
      </c>
      <c r="R56" s="15">
        <f>IF(O56="","-",IF(O56&gt;0,"WIN",IF(O56&lt;0,"LOSS","FLAT")))</f>
        <v/>
      </c>
    </row>
    <row r="57">
      <c r="A57" s="8" t="inlineStr"/>
      <c r="B57" s="8" t="inlineStr"/>
      <c r="C57" s="9" t="inlineStr"/>
      <c r="D57" s="10" t="inlineStr"/>
      <c r="E57" s="10" t="inlineStr"/>
      <c r="F57" s="11" t="inlineStr"/>
      <c r="G57" s="10" t="inlineStr"/>
      <c r="H57" s="12">
        <f>IF(G57&gt;0,F57/G57,0)</f>
        <v/>
      </c>
      <c r="I57" s="13">
        <f>IF(G57&gt;0,(G57-D57)/D57,0)</f>
        <v/>
      </c>
      <c r="J57" s="14">
        <f>IF(AND(G57&gt;0,E57&gt;0),H57*(G57-E57),0)</f>
        <v/>
      </c>
      <c r="M57" s="19" t="n"/>
      <c r="N57" s="15">
        <f>IF(AND(ISNUMBER(K57),ISNUMBER(A57)),NETWORKDAYS(A57,K57),0)</f>
        <v/>
      </c>
      <c r="O57" s="16">
        <f>IF(AND(ISNUMBER(M57),H57&gt;0),(M57-G57)*H57,0)</f>
        <v/>
      </c>
      <c r="P57" s="17">
        <f>IF(AND(ISNUMBER(M57),G57&gt;0),(M57-G57)/G57,0)</f>
        <v/>
      </c>
      <c r="Q57" s="18">
        <f>IF(J57&gt;0,O57/J57,0)</f>
        <v/>
      </c>
      <c r="R57" s="15">
        <f>IF(O57="","-",IF(O57&gt;0,"WIN",IF(O57&lt;0,"LOSS","FLAT")))</f>
        <v/>
      </c>
    </row>
    <row r="58">
      <c r="A58" s="8" t="inlineStr"/>
      <c r="B58" s="8" t="inlineStr"/>
      <c r="C58" s="9" t="inlineStr"/>
      <c r="D58" s="10" t="inlineStr"/>
      <c r="E58" s="10" t="inlineStr"/>
      <c r="F58" s="11" t="inlineStr"/>
      <c r="G58" s="10" t="inlineStr"/>
      <c r="H58" s="12">
        <f>IF(G58&gt;0,F58/G58,0)</f>
        <v/>
      </c>
      <c r="I58" s="13">
        <f>IF(G58&gt;0,(G58-D58)/D58,0)</f>
        <v/>
      </c>
      <c r="J58" s="14">
        <f>IF(AND(G58&gt;0,E58&gt;0),H58*(G58-E58),0)</f>
        <v/>
      </c>
      <c r="M58" s="19" t="n"/>
      <c r="N58" s="15">
        <f>IF(AND(ISNUMBER(K58),ISNUMBER(A58)),NETWORKDAYS(A58,K58),0)</f>
        <v/>
      </c>
      <c r="O58" s="16">
        <f>IF(AND(ISNUMBER(M58),H58&gt;0),(M58-G58)*H58,0)</f>
        <v/>
      </c>
      <c r="P58" s="17">
        <f>IF(AND(ISNUMBER(M58),G58&gt;0),(M58-G58)/G58,0)</f>
        <v/>
      </c>
      <c r="Q58" s="18">
        <f>IF(J58&gt;0,O58/J58,0)</f>
        <v/>
      </c>
      <c r="R58" s="15">
        <f>IF(O58="","-",IF(O58&gt;0,"WIN",IF(O58&lt;0,"LOSS","FLAT")))</f>
        <v/>
      </c>
    </row>
    <row r="59">
      <c r="A59" s="8" t="inlineStr"/>
      <c r="B59" s="8" t="inlineStr"/>
      <c r="C59" s="9" t="inlineStr"/>
      <c r="D59" s="10" t="inlineStr"/>
      <c r="E59" s="10" t="inlineStr"/>
      <c r="F59" s="11" t="inlineStr"/>
      <c r="G59" s="10" t="inlineStr"/>
      <c r="H59" s="12">
        <f>IF(G59&gt;0,F59/G59,0)</f>
        <v/>
      </c>
      <c r="I59" s="13">
        <f>IF(G59&gt;0,(G59-D59)/D59,0)</f>
        <v/>
      </c>
      <c r="J59" s="14">
        <f>IF(AND(G59&gt;0,E59&gt;0),H59*(G59-E59),0)</f>
        <v/>
      </c>
      <c r="M59" s="19" t="n"/>
      <c r="N59" s="15">
        <f>IF(AND(ISNUMBER(K59),ISNUMBER(A59)),NETWORKDAYS(A59,K59),0)</f>
        <v/>
      </c>
      <c r="O59" s="16">
        <f>IF(AND(ISNUMBER(M59),H59&gt;0),(M59-G59)*H59,0)</f>
        <v/>
      </c>
      <c r="P59" s="17">
        <f>IF(AND(ISNUMBER(M59),G59&gt;0),(M59-G59)/G59,0)</f>
        <v/>
      </c>
      <c r="Q59" s="18">
        <f>IF(J59&gt;0,O59/J59,0)</f>
        <v/>
      </c>
      <c r="R59" s="15">
        <f>IF(O59="","-",IF(O59&gt;0,"WIN",IF(O59&lt;0,"LOSS","FLAT")))</f>
        <v/>
      </c>
    </row>
    <row r="60">
      <c r="A60" s="8" t="inlineStr"/>
      <c r="B60" s="8" t="inlineStr"/>
      <c r="C60" s="9" t="inlineStr"/>
      <c r="D60" s="10" t="inlineStr"/>
      <c r="E60" s="10" t="inlineStr"/>
      <c r="F60" s="11" t="inlineStr"/>
      <c r="G60" s="10" t="inlineStr"/>
      <c r="H60" s="12">
        <f>IF(G60&gt;0,F60/G60,0)</f>
        <v/>
      </c>
      <c r="I60" s="13">
        <f>IF(G60&gt;0,(G60-D60)/D60,0)</f>
        <v/>
      </c>
      <c r="J60" s="14">
        <f>IF(AND(G60&gt;0,E60&gt;0),H60*(G60-E60),0)</f>
        <v/>
      </c>
      <c r="M60" s="19" t="n"/>
      <c r="N60" s="15">
        <f>IF(AND(ISNUMBER(K60),ISNUMBER(A60)),NETWORKDAYS(A60,K60),0)</f>
        <v/>
      </c>
      <c r="O60" s="16">
        <f>IF(AND(ISNUMBER(M60),H60&gt;0),(M60-G60)*H60,0)</f>
        <v/>
      </c>
      <c r="P60" s="17">
        <f>IF(AND(ISNUMBER(M60),G60&gt;0),(M60-G60)/G60,0)</f>
        <v/>
      </c>
      <c r="Q60" s="18">
        <f>IF(J60&gt;0,O60/J60,0)</f>
        <v/>
      </c>
      <c r="R60" s="15">
        <f>IF(O60="","-",IF(O60&gt;0,"WIN",IF(O60&lt;0,"LOSS","FLAT")))</f>
        <v/>
      </c>
    </row>
    <row r="61">
      <c r="A61" s="8" t="inlineStr"/>
      <c r="B61" s="8" t="inlineStr"/>
      <c r="C61" s="9" t="inlineStr"/>
      <c r="D61" s="10" t="inlineStr"/>
      <c r="E61" s="10" t="inlineStr"/>
      <c r="F61" s="11" t="inlineStr"/>
      <c r="G61" s="10" t="inlineStr"/>
      <c r="H61" s="12">
        <f>IF(G61&gt;0,F61/G61,0)</f>
        <v/>
      </c>
      <c r="I61" s="13">
        <f>IF(G61&gt;0,(G61-D61)/D61,0)</f>
        <v/>
      </c>
      <c r="J61" s="14">
        <f>IF(AND(G61&gt;0,E61&gt;0),H61*(G61-E61),0)</f>
        <v/>
      </c>
      <c r="M61" s="19" t="n"/>
      <c r="N61" s="15">
        <f>IF(AND(ISNUMBER(K61),ISNUMBER(A61)),NETWORKDAYS(A61,K61),0)</f>
        <v/>
      </c>
      <c r="O61" s="16">
        <f>IF(AND(ISNUMBER(M61),H61&gt;0),(M61-G61)*H61,0)</f>
        <v/>
      </c>
      <c r="P61" s="17">
        <f>IF(AND(ISNUMBER(M61),G61&gt;0),(M61-G61)/G61,0)</f>
        <v/>
      </c>
      <c r="Q61" s="18">
        <f>IF(J61&gt;0,O61/J61,0)</f>
        <v/>
      </c>
      <c r="R61" s="15">
        <f>IF(O61="","-",IF(O61&gt;0,"WIN",IF(O61&lt;0,"LOSS","FLAT")))</f>
        <v/>
      </c>
    </row>
    <row r="62">
      <c r="A62" s="8" t="inlineStr"/>
      <c r="B62" s="8" t="inlineStr"/>
      <c r="C62" s="9" t="inlineStr"/>
      <c r="D62" s="10" t="inlineStr"/>
      <c r="E62" s="10" t="inlineStr"/>
      <c r="F62" s="11" t="inlineStr"/>
      <c r="G62" s="10" t="inlineStr"/>
      <c r="H62" s="12">
        <f>IF(G62&gt;0,F62/G62,0)</f>
        <v/>
      </c>
      <c r="I62" s="13">
        <f>IF(G62&gt;0,(G62-D62)/D62,0)</f>
        <v/>
      </c>
      <c r="J62" s="14">
        <f>IF(AND(G62&gt;0,E62&gt;0),H62*(G62-E62),0)</f>
        <v/>
      </c>
      <c r="M62" s="19" t="n"/>
      <c r="N62" s="15">
        <f>IF(AND(ISNUMBER(K62),ISNUMBER(A62)),NETWORKDAYS(A62,K62),0)</f>
        <v/>
      </c>
      <c r="O62" s="16">
        <f>IF(AND(ISNUMBER(M62),H62&gt;0),(M62-G62)*H62,0)</f>
        <v/>
      </c>
      <c r="P62" s="17">
        <f>IF(AND(ISNUMBER(M62),G62&gt;0),(M62-G62)/G62,0)</f>
        <v/>
      </c>
      <c r="Q62" s="18">
        <f>IF(J62&gt;0,O62/J62,0)</f>
        <v/>
      </c>
      <c r="R62" s="15">
        <f>IF(O62="","-",IF(O62&gt;0,"WIN",IF(O62&lt;0,"LOSS","FLAT")))</f>
        <v/>
      </c>
    </row>
    <row r="63">
      <c r="A63" s="8" t="inlineStr"/>
      <c r="B63" s="8" t="inlineStr"/>
      <c r="C63" s="9" t="inlineStr"/>
      <c r="D63" s="10" t="inlineStr"/>
      <c r="E63" s="10" t="inlineStr"/>
      <c r="F63" s="11" t="inlineStr"/>
      <c r="G63" s="10" t="inlineStr"/>
      <c r="H63" s="12">
        <f>IF(G63&gt;0,F63/G63,0)</f>
        <v/>
      </c>
      <c r="I63" s="13">
        <f>IF(G63&gt;0,(G63-D63)/D63,0)</f>
        <v/>
      </c>
      <c r="J63" s="14">
        <f>IF(AND(G63&gt;0,E63&gt;0),H63*(G63-E63),0)</f>
        <v/>
      </c>
      <c r="M63" s="19" t="n"/>
      <c r="N63" s="15">
        <f>IF(AND(ISNUMBER(K63),ISNUMBER(A63)),NETWORKDAYS(A63,K63),0)</f>
        <v/>
      </c>
      <c r="O63" s="16">
        <f>IF(AND(ISNUMBER(M63),H63&gt;0),(M63-G63)*H63,0)</f>
        <v/>
      </c>
      <c r="P63" s="17">
        <f>IF(AND(ISNUMBER(M63),G63&gt;0),(M63-G63)/G63,0)</f>
        <v/>
      </c>
      <c r="Q63" s="18">
        <f>IF(J63&gt;0,O63/J63,0)</f>
        <v/>
      </c>
      <c r="R63" s="15">
        <f>IF(O63="","-",IF(O63&gt;0,"WIN",IF(O63&lt;0,"LOSS","FLAT")))</f>
        <v/>
      </c>
    </row>
    <row r="64">
      <c r="A64" s="8" t="inlineStr"/>
      <c r="B64" s="8" t="inlineStr"/>
      <c r="C64" s="9" t="inlineStr"/>
      <c r="D64" s="10" t="inlineStr"/>
      <c r="E64" s="10" t="inlineStr"/>
      <c r="F64" s="11" t="inlineStr"/>
      <c r="G64" s="10" t="inlineStr"/>
      <c r="H64" s="12">
        <f>IF(G64&gt;0,F64/G64,0)</f>
        <v/>
      </c>
      <c r="I64" s="13">
        <f>IF(G64&gt;0,(G64-D64)/D64,0)</f>
        <v/>
      </c>
      <c r="J64" s="14">
        <f>IF(AND(G64&gt;0,E64&gt;0),H64*(G64-E64),0)</f>
        <v/>
      </c>
      <c r="M64" s="19" t="n"/>
      <c r="N64" s="15">
        <f>IF(AND(ISNUMBER(K64),ISNUMBER(A64)),NETWORKDAYS(A64,K64),0)</f>
        <v/>
      </c>
      <c r="O64" s="16">
        <f>IF(AND(ISNUMBER(M64),H64&gt;0),(M64-G64)*H64,0)</f>
        <v/>
      </c>
      <c r="P64" s="17">
        <f>IF(AND(ISNUMBER(M64),G64&gt;0),(M64-G64)/G64,0)</f>
        <v/>
      </c>
      <c r="Q64" s="18">
        <f>IF(J64&gt;0,O64/J64,0)</f>
        <v/>
      </c>
      <c r="R64" s="15">
        <f>IF(O64="","-",IF(O64&gt;0,"WIN",IF(O64&lt;0,"LOSS","FLAT")))</f>
        <v/>
      </c>
    </row>
    <row r="65">
      <c r="A65" s="8" t="inlineStr"/>
      <c r="B65" s="8" t="inlineStr"/>
      <c r="C65" s="9" t="inlineStr"/>
      <c r="D65" s="10" t="inlineStr"/>
      <c r="E65" s="10" t="inlineStr"/>
      <c r="F65" s="11" t="inlineStr"/>
      <c r="G65" s="10" t="inlineStr"/>
      <c r="H65" s="12">
        <f>IF(G65&gt;0,F65/G65,0)</f>
        <v/>
      </c>
      <c r="I65" s="13">
        <f>IF(G65&gt;0,(G65-D65)/D65,0)</f>
        <v/>
      </c>
      <c r="J65" s="14">
        <f>IF(AND(G65&gt;0,E65&gt;0),H65*(G65-E65),0)</f>
        <v/>
      </c>
      <c r="M65" s="19" t="n"/>
      <c r="N65" s="15">
        <f>IF(AND(ISNUMBER(K65),ISNUMBER(A65)),NETWORKDAYS(A65,K65),0)</f>
        <v/>
      </c>
      <c r="O65" s="16">
        <f>IF(AND(ISNUMBER(M65),H65&gt;0),(M65-G65)*H65,0)</f>
        <v/>
      </c>
      <c r="P65" s="17">
        <f>IF(AND(ISNUMBER(M65),G65&gt;0),(M65-G65)/G65,0)</f>
        <v/>
      </c>
      <c r="Q65" s="18">
        <f>IF(J65&gt;0,O65/J65,0)</f>
        <v/>
      </c>
      <c r="R65" s="15">
        <f>IF(O65="","-",IF(O65&gt;0,"WIN",IF(O65&lt;0,"LOSS","FLAT")))</f>
        <v/>
      </c>
    </row>
    <row r="66">
      <c r="A66" s="8" t="inlineStr"/>
      <c r="B66" s="8" t="inlineStr"/>
      <c r="C66" s="9" t="inlineStr"/>
      <c r="D66" s="10" t="inlineStr"/>
      <c r="E66" s="10" t="inlineStr"/>
      <c r="F66" s="11" t="inlineStr"/>
      <c r="G66" s="10" t="inlineStr"/>
      <c r="H66" s="12">
        <f>IF(G66&gt;0,F66/G66,0)</f>
        <v/>
      </c>
      <c r="I66" s="13">
        <f>IF(G66&gt;0,(G66-D66)/D66,0)</f>
        <v/>
      </c>
      <c r="J66" s="14">
        <f>IF(AND(G66&gt;0,E66&gt;0),H66*(G66-E66),0)</f>
        <v/>
      </c>
      <c r="M66" s="19" t="n"/>
      <c r="N66" s="15">
        <f>IF(AND(ISNUMBER(K66),ISNUMBER(A66)),NETWORKDAYS(A66,K66),0)</f>
        <v/>
      </c>
      <c r="O66" s="16">
        <f>IF(AND(ISNUMBER(M66),H66&gt;0),(M66-G66)*H66,0)</f>
        <v/>
      </c>
      <c r="P66" s="17">
        <f>IF(AND(ISNUMBER(M66),G66&gt;0),(M66-G66)/G66,0)</f>
        <v/>
      </c>
      <c r="Q66" s="18">
        <f>IF(J66&gt;0,O66/J66,0)</f>
        <v/>
      </c>
      <c r="R66" s="15">
        <f>IF(O66="","-",IF(O66&gt;0,"WIN",IF(O66&lt;0,"LOSS","FLAT")))</f>
        <v/>
      </c>
    </row>
    <row r="67">
      <c r="A67" s="8" t="inlineStr"/>
      <c r="B67" s="8" t="inlineStr"/>
      <c r="C67" s="9" t="inlineStr"/>
      <c r="D67" s="10" t="inlineStr"/>
      <c r="E67" s="10" t="inlineStr"/>
      <c r="F67" s="11" t="inlineStr"/>
      <c r="G67" s="10" t="inlineStr"/>
      <c r="H67" s="12">
        <f>IF(G67&gt;0,F67/G67,0)</f>
        <v/>
      </c>
      <c r="I67" s="13">
        <f>IF(G67&gt;0,(G67-D67)/D67,0)</f>
        <v/>
      </c>
      <c r="J67" s="14">
        <f>IF(AND(G67&gt;0,E67&gt;0),H67*(G67-E67),0)</f>
        <v/>
      </c>
      <c r="M67" s="19" t="n"/>
      <c r="N67" s="15">
        <f>IF(AND(ISNUMBER(K67),ISNUMBER(A67)),NETWORKDAYS(A67,K67),0)</f>
        <v/>
      </c>
      <c r="O67" s="16">
        <f>IF(AND(ISNUMBER(M67),H67&gt;0),(M67-G67)*H67,0)</f>
        <v/>
      </c>
      <c r="P67" s="17">
        <f>IF(AND(ISNUMBER(M67),G67&gt;0),(M67-G67)/G67,0)</f>
        <v/>
      </c>
      <c r="Q67" s="18">
        <f>IF(J67&gt;0,O67/J67,0)</f>
        <v/>
      </c>
      <c r="R67" s="15">
        <f>IF(O67="","-",IF(O67&gt;0,"WIN",IF(O67&lt;0,"LOSS","FLAT")))</f>
        <v/>
      </c>
    </row>
    <row r="68">
      <c r="A68" s="8" t="inlineStr"/>
      <c r="B68" s="8" t="inlineStr"/>
      <c r="C68" s="9" t="inlineStr"/>
      <c r="D68" s="10" t="inlineStr"/>
      <c r="E68" s="10" t="inlineStr"/>
      <c r="F68" s="11" t="inlineStr"/>
      <c r="G68" s="10" t="inlineStr"/>
      <c r="H68" s="12">
        <f>IF(G68&gt;0,F68/G68,0)</f>
        <v/>
      </c>
      <c r="I68" s="13">
        <f>IF(G68&gt;0,(G68-D68)/D68,0)</f>
        <v/>
      </c>
      <c r="J68" s="14">
        <f>IF(AND(G68&gt;0,E68&gt;0),H68*(G68-E68),0)</f>
        <v/>
      </c>
      <c r="M68" s="19" t="n"/>
      <c r="N68" s="15">
        <f>IF(AND(ISNUMBER(K68),ISNUMBER(A68)),NETWORKDAYS(A68,K68),0)</f>
        <v/>
      </c>
      <c r="O68" s="16">
        <f>IF(AND(ISNUMBER(M68),H68&gt;0),(M68-G68)*H68,0)</f>
        <v/>
      </c>
      <c r="P68" s="17">
        <f>IF(AND(ISNUMBER(M68),G68&gt;0),(M68-G68)/G68,0)</f>
        <v/>
      </c>
      <c r="Q68" s="18">
        <f>IF(J68&gt;0,O68/J68,0)</f>
        <v/>
      </c>
      <c r="R68" s="15">
        <f>IF(O68="","-",IF(O68&gt;0,"WIN",IF(O68&lt;0,"LOSS","FLAT")))</f>
        <v/>
      </c>
    </row>
    <row r="69">
      <c r="A69" s="8" t="inlineStr"/>
      <c r="B69" s="8" t="inlineStr"/>
      <c r="C69" s="9" t="inlineStr"/>
      <c r="D69" s="10" t="inlineStr"/>
      <c r="E69" s="10" t="inlineStr"/>
      <c r="F69" s="11" t="inlineStr"/>
      <c r="G69" s="10" t="inlineStr"/>
      <c r="H69" s="12">
        <f>IF(G69&gt;0,F69/G69,0)</f>
        <v/>
      </c>
      <c r="I69" s="13">
        <f>IF(G69&gt;0,(G69-D69)/D69,0)</f>
        <v/>
      </c>
      <c r="J69" s="14">
        <f>IF(AND(G69&gt;0,E69&gt;0),H69*(G69-E69),0)</f>
        <v/>
      </c>
      <c r="M69" s="19" t="n"/>
      <c r="N69" s="15">
        <f>IF(AND(ISNUMBER(K69),ISNUMBER(A69)),NETWORKDAYS(A69,K69),0)</f>
        <v/>
      </c>
      <c r="O69" s="16">
        <f>IF(AND(ISNUMBER(M69),H69&gt;0),(M69-G69)*H69,0)</f>
        <v/>
      </c>
      <c r="P69" s="17">
        <f>IF(AND(ISNUMBER(M69),G69&gt;0),(M69-G69)/G69,0)</f>
        <v/>
      </c>
      <c r="Q69" s="18">
        <f>IF(J69&gt;0,O69/J69,0)</f>
        <v/>
      </c>
      <c r="R69" s="15">
        <f>IF(O69="","-",IF(O69&gt;0,"WIN",IF(O69&lt;0,"LOSS","FLAT")))</f>
        <v/>
      </c>
    </row>
    <row r="70">
      <c r="A70" s="8" t="inlineStr"/>
      <c r="B70" s="8" t="inlineStr"/>
      <c r="C70" s="9" t="inlineStr"/>
      <c r="D70" s="10" t="inlineStr"/>
      <c r="E70" s="10" t="inlineStr"/>
      <c r="F70" s="11" t="inlineStr"/>
      <c r="G70" s="10" t="inlineStr"/>
      <c r="H70" s="12">
        <f>IF(G70&gt;0,F70/G70,0)</f>
        <v/>
      </c>
      <c r="I70" s="13">
        <f>IF(G70&gt;0,(G70-D70)/D70,0)</f>
        <v/>
      </c>
      <c r="J70" s="14">
        <f>IF(AND(G70&gt;0,E70&gt;0),H70*(G70-E70),0)</f>
        <v/>
      </c>
      <c r="M70" s="19" t="n"/>
      <c r="N70" s="15">
        <f>IF(AND(ISNUMBER(K70),ISNUMBER(A70)),NETWORKDAYS(A70,K70),0)</f>
        <v/>
      </c>
      <c r="O70" s="16">
        <f>IF(AND(ISNUMBER(M70),H70&gt;0),(M70-G70)*H70,0)</f>
        <v/>
      </c>
      <c r="P70" s="17">
        <f>IF(AND(ISNUMBER(M70),G70&gt;0),(M70-G70)/G70,0)</f>
        <v/>
      </c>
      <c r="Q70" s="18">
        <f>IF(J70&gt;0,O70/J70,0)</f>
        <v/>
      </c>
      <c r="R70" s="15">
        <f>IF(O70="","-",IF(O70&gt;0,"WIN",IF(O70&lt;0,"LOSS","FLAT")))</f>
        <v/>
      </c>
    </row>
    <row r="71">
      <c r="A71" s="8" t="inlineStr"/>
      <c r="B71" s="8" t="inlineStr"/>
      <c r="C71" s="9" t="inlineStr"/>
      <c r="D71" s="10" t="inlineStr"/>
      <c r="E71" s="10" t="inlineStr"/>
      <c r="F71" s="11" t="inlineStr"/>
      <c r="G71" s="10" t="inlineStr"/>
      <c r="H71" s="12">
        <f>IF(G71&gt;0,F71/G71,0)</f>
        <v/>
      </c>
      <c r="I71" s="13">
        <f>IF(G71&gt;0,(G71-D71)/D71,0)</f>
        <v/>
      </c>
      <c r="J71" s="14">
        <f>IF(AND(G71&gt;0,E71&gt;0),H71*(G71-E71),0)</f>
        <v/>
      </c>
      <c r="M71" s="19" t="n"/>
      <c r="N71" s="15">
        <f>IF(AND(ISNUMBER(K71),ISNUMBER(A71)),NETWORKDAYS(A71,K71),0)</f>
        <v/>
      </c>
      <c r="O71" s="16">
        <f>IF(AND(ISNUMBER(M71),H71&gt;0),(M71-G71)*H71,0)</f>
        <v/>
      </c>
      <c r="P71" s="17">
        <f>IF(AND(ISNUMBER(M71),G71&gt;0),(M71-G71)/G71,0)</f>
        <v/>
      </c>
      <c r="Q71" s="18">
        <f>IF(J71&gt;0,O71/J71,0)</f>
        <v/>
      </c>
      <c r="R71" s="15">
        <f>IF(O71="","-",IF(O71&gt;0,"WIN",IF(O71&lt;0,"LOSS","FLAT")))</f>
        <v/>
      </c>
    </row>
    <row r="72">
      <c r="A72" s="8" t="inlineStr"/>
      <c r="B72" s="8" t="inlineStr"/>
      <c r="C72" s="9" t="inlineStr"/>
      <c r="D72" s="10" t="inlineStr"/>
      <c r="E72" s="10" t="inlineStr"/>
      <c r="F72" s="11" t="inlineStr"/>
      <c r="G72" s="10" t="inlineStr"/>
      <c r="H72" s="12">
        <f>IF(G72&gt;0,F72/G72,0)</f>
        <v/>
      </c>
      <c r="I72" s="13">
        <f>IF(G72&gt;0,(G72-D72)/D72,0)</f>
        <v/>
      </c>
      <c r="J72" s="14">
        <f>IF(AND(G72&gt;0,E72&gt;0),H72*(G72-E72),0)</f>
        <v/>
      </c>
      <c r="M72" s="19" t="n"/>
      <c r="N72" s="15">
        <f>IF(AND(ISNUMBER(K72),ISNUMBER(A72)),NETWORKDAYS(A72,K72),0)</f>
        <v/>
      </c>
      <c r="O72" s="16">
        <f>IF(AND(ISNUMBER(M72),H72&gt;0),(M72-G72)*H72,0)</f>
        <v/>
      </c>
      <c r="P72" s="17">
        <f>IF(AND(ISNUMBER(M72),G72&gt;0),(M72-G72)/G72,0)</f>
        <v/>
      </c>
      <c r="Q72" s="18">
        <f>IF(J72&gt;0,O72/J72,0)</f>
        <v/>
      </c>
      <c r="R72" s="15">
        <f>IF(O72="","-",IF(O72&gt;0,"WIN",IF(O72&lt;0,"LOSS","FLAT")))</f>
        <v/>
      </c>
    </row>
    <row r="73">
      <c r="A73" s="8" t="inlineStr"/>
      <c r="B73" s="8" t="inlineStr"/>
      <c r="C73" s="9" t="inlineStr"/>
      <c r="D73" s="10" t="inlineStr"/>
      <c r="E73" s="10" t="inlineStr"/>
      <c r="F73" s="11" t="inlineStr"/>
      <c r="G73" s="10" t="inlineStr"/>
      <c r="H73" s="12">
        <f>IF(G73&gt;0,F73/G73,0)</f>
        <v/>
      </c>
      <c r="I73" s="13">
        <f>IF(G73&gt;0,(G73-D73)/D73,0)</f>
        <v/>
      </c>
      <c r="J73" s="14">
        <f>IF(AND(G73&gt;0,E73&gt;0),H73*(G73-E73),0)</f>
        <v/>
      </c>
      <c r="M73" s="19" t="n"/>
      <c r="N73" s="15">
        <f>IF(AND(ISNUMBER(K73),ISNUMBER(A73)),NETWORKDAYS(A73,K73),0)</f>
        <v/>
      </c>
      <c r="O73" s="16">
        <f>IF(AND(ISNUMBER(M73),H73&gt;0),(M73-G73)*H73,0)</f>
        <v/>
      </c>
      <c r="P73" s="17">
        <f>IF(AND(ISNUMBER(M73),G73&gt;0),(M73-G73)/G73,0)</f>
        <v/>
      </c>
      <c r="Q73" s="18">
        <f>IF(J73&gt;0,O73/J73,0)</f>
        <v/>
      </c>
      <c r="R73" s="15">
        <f>IF(O73="","-",IF(O73&gt;0,"WIN",IF(O73&lt;0,"LOSS","FLAT")))</f>
        <v/>
      </c>
    </row>
    <row r="74">
      <c r="A74" s="8" t="inlineStr"/>
      <c r="B74" s="8" t="inlineStr"/>
      <c r="C74" s="9" t="inlineStr"/>
      <c r="D74" s="10" t="inlineStr"/>
      <c r="E74" s="10" t="inlineStr"/>
      <c r="F74" s="11" t="inlineStr"/>
      <c r="G74" s="10" t="inlineStr"/>
      <c r="H74" s="12">
        <f>IF(G74&gt;0,F74/G74,0)</f>
        <v/>
      </c>
      <c r="I74" s="13">
        <f>IF(G74&gt;0,(G74-D74)/D74,0)</f>
        <v/>
      </c>
      <c r="J74" s="14">
        <f>IF(AND(G74&gt;0,E74&gt;0),H74*(G74-E74),0)</f>
        <v/>
      </c>
      <c r="M74" s="19" t="n"/>
      <c r="N74" s="15">
        <f>IF(AND(ISNUMBER(K74),ISNUMBER(A74)),NETWORKDAYS(A74,K74),0)</f>
        <v/>
      </c>
      <c r="O74" s="16">
        <f>IF(AND(ISNUMBER(M74),H74&gt;0),(M74-G74)*H74,0)</f>
        <v/>
      </c>
      <c r="P74" s="17">
        <f>IF(AND(ISNUMBER(M74),G74&gt;0),(M74-G74)/G74,0)</f>
        <v/>
      </c>
      <c r="Q74" s="18">
        <f>IF(J74&gt;0,O74/J74,0)</f>
        <v/>
      </c>
      <c r="R74" s="15">
        <f>IF(O74="","-",IF(O74&gt;0,"WIN",IF(O74&lt;0,"LOSS","FLAT")))</f>
        <v/>
      </c>
    </row>
    <row r="75">
      <c r="A75" s="8" t="inlineStr"/>
      <c r="B75" s="8" t="inlineStr"/>
      <c r="C75" s="9" t="inlineStr"/>
      <c r="D75" s="10" t="inlineStr"/>
      <c r="E75" s="10" t="inlineStr"/>
      <c r="F75" s="11" t="inlineStr"/>
      <c r="G75" s="10" t="inlineStr"/>
      <c r="H75" s="12">
        <f>IF(G75&gt;0,F75/G75,0)</f>
        <v/>
      </c>
      <c r="I75" s="13">
        <f>IF(G75&gt;0,(G75-D75)/D75,0)</f>
        <v/>
      </c>
      <c r="J75" s="14">
        <f>IF(AND(G75&gt;0,E75&gt;0),H75*(G75-E75),0)</f>
        <v/>
      </c>
      <c r="M75" s="19" t="n"/>
      <c r="N75" s="15">
        <f>IF(AND(ISNUMBER(K75),ISNUMBER(A75)),NETWORKDAYS(A75,K75),0)</f>
        <v/>
      </c>
      <c r="O75" s="16">
        <f>IF(AND(ISNUMBER(M75),H75&gt;0),(M75-G75)*H75,0)</f>
        <v/>
      </c>
      <c r="P75" s="17">
        <f>IF(AND(ISNUMBER(M75),G75&gt;0),(M75-G75)/G75,0)</f>
        <v/>
      </c>
      <c r="Q75" s="18">
        <f>IF(J75&gt;0,O75/J75,0)</f>
        <v/>
      </c>
      <c r="R75" s="15">
        <f>IF(O75="","-",IF(O75&gt;0,"WIN",IF(O75&lt;0,"LOSS","FLAT")))</f>
        <v/>
      </c>
    </row>
    <row r="76">
      <c r="A76" s="8" t="inlineStr"/>
      <c r="B76" s="8" t="inlineStr"/>
      <c r="C76" s="9" t="inlineStr"/>
      <c r="D76" s="10" t="inlineStr"/>
      <c r="E76" s="10" t="inlineStr"/>
      <c r="F76" s="11" t="inlineStr"/>
      <c r="G76" s="10" t="inlineStr"/>
      <c r="H76" s="12">
        <f>IF(G76&gt;0,F76/G76,0)</f>
        <v/>
      </c>
      <c r="I76" s="13">
        <f>IF(G76&gt;0,(G76-D76)/D76,0)</f>
        <v/>
      </c>
      <c r="J76" s="14">
        <f>IF(AND(G76&gt;0,E76&gt;0),H76*(G76-E76),0)</f>
        <v/>
      </c>
      <c r="M76" s="19" t="n"/>
      <c r="N76" s="15">
        <f>IF(AND(ISNUMBER(K76),ISNUMBER(A76)),NETWORKDAYS(A76,K76),0)</f>
        <v/>
      </c>
      <c r="O76" s="16">
        <f>IF(AND(ISNUMBER(M76),H76&gt;0),(M76-G76)*H76,0)</f>
        <v/>
      </c>
      <c r="P76" s="17">
        <f>IF(AND(ISNUMBER(M76),G76&gt;0),(M76-G76)/G76,0)</f>
        <v/>
      </c>
      <c r="Q76" s="18">
        <f>IF(J76&gt;0,O76/J76,0)</f>
        <v/>
      </c>
      <c r="R76" s="15">
        <f>IF(O76="","-",IF(O76&gt;0,"WIN",IF(O76&lt;0,"LOSS","FLAT")))</f>
        <v/>
      </c>
    </row>
    <row r="77">
      <c r="A77" s="8" t="inlineStr"/>
      <c r="B77" s="8" t="inlineStr"/>
      <c r="C77" s="9" t="inlineStr"/>
      <c r="D77" s="10" t="inlineStr"/>
      <c r="E77" s="10" t="inlineStr"/>
      <c r="F77" s="11" t="inlineStr"/>
      <c r="G77" s="10" t="inlineStr"/>
      <c r="H77" s="12">
        <f>IF(G77&gt;0,F77/G77,0)</f>
        <v/>
      </c>
      <c r="I77" s="13">
        <f>IF(G77&gt;0,(G77-D77)/D77,0)</f>
        <v/>
      </c>
      <c r="J77" s="14">
        <f>IF(AND(G77&gt;0,E77&gt;0),H77*(G77-E77),0)</f>
        <v/>
      </c>
      <c r="M77" s="19" t="n"/>
      <c r="N77" s="15">
        <f>IF(AND(ISNUMBER(K77),ISNUMBER(A77)),NETWORKDAYS(A77,K77),0)</f>
        <v/>
      </c>
      <c r="O77" s="16">
        <f>IF(AND(ISNUMBER(M77),H77&gt;0),(M77-G77)*H77,0)</f>
        <v/>
      </c>
      <c r="P77" s="17">
        <f>IF(AND(ISNUMBER(M77),G77&gt;0),(M77-G77)/G77,0)</f>
        <v/>
      </c>
      <c r="Q77" s="18">
        <f>IF(J77&gt;0,O77/J77,0)</f>
        <v/>
      </c>
      <c r="R77" s="15">
        <f>IF(O77="","-",IF(O77&gt;0,"WIN",IF(O77&lt;0,"LOSS","FLAT")))</f>
        <v/>
      </c>
    </row>
    <row r="78">
      <c r="A78" s="8" t="inlineStr"/>
      <c r="B78" s="8" t="inlineStr"/>
      <c r="C78" s="9" t="inlineStr"/>
      <c r="D78" s="10" t="inlineStr"/>
      <c r="E78" s="10" t="inlineStr"/>
      <c r="F78" s="11" t="inlineStr"/>
      <c r="G78" s="10" t="inlineStr"/>
      <c r="H78" s="12">
        <f>IF(G78&gt;0,F78/G78,0)</f>
        <v/>
      </c>
      <c r="I78" s="13">
        <f>IF(G78&gt;0,(G78-D78)/D78,0)</f>
        <v/>
      </c>
      <c r="J78" s="14">
        <f>IF(AND(G78&gt;0,E78&gt;0),H78*(G78-E78),0)</f>
        <v/>
      </c>
      <c r="M78" s="19" t="n"/>
      <c r="N78" s="15">
        <f>IF(AND(ISNUMBER(K78),ISNUMBER(A78)),NETWORKDAYS(A78,K78),0)</f>
        <v/>
      </c>
      <c r="O78" s="16">
        <f>IF(AND(ISNUMBER(M78),H78&gt;0),(M78-G78)*H78,0)</f>
        <v/>
      </c>
      <c r="P78" s="17">
        <f>IF(AND(ISNUMBER(M78),G78&gt;0),(M78-G78)/G78,0)</f>
        <v/>
      </c>
      <c r="Q78" s="18">
        <f>IF(J78&gt;0,O78/J78,0)</f>
        <v/>
      </c>
      <c r="R78" s="15">
        <f>IF(O78="","-",IF(O78&gt;0,"WIN",IF(O78&lt;0,"LOSS","FLAT")))</f>
        <v/>
      </c>
    </row>
    <row r="79">
      <c r="A79" s="8" t="inlineStr"/>
      <c r="B79" s="8" t="inlineStr"/>
      <c r="C79" s="9" t="inlineStr"/>
      <c r="D79" s="10" t="inlineStr"/>
      <c r="E79" s="10" t="inlineStr"/>
      <c r="F79" s="11" t="inlineStr"/>
      <c r="G79" s="10" t="inlineStr"/>
      <c r="H79" s="12">
        <f>IF(G79&gt;0,F79/G79,0)</f>
        <v/>
      </c>
      <c r="I79" s="13">
        <f>IF(G79&gt;0,(G79-D79)/D79,0)</f>
        <v/>
      </c>
      <c r="J79" s="14">
        <f>IF(AND(G79&gt;0,E79&gt;0),H79*(G79-E79),0)</f>
        <v/>
      </c>
      <c r="M79" s="19" t="n"/>
      <c r="N79" s="15">
        <f>IF(AND(ISNUMBER(K79),ISNUMBER(A79)),NETWORKDAYS(A79,K79),0)</f>
        <v/>
      </c>
      <c r="O79" s="16">
        <f>IF(AND(ISNUMBER(M79),H79&gt;0),(M79-G79)*H79,0)</f>
        <v/>
      </c>
      <c r="P79" s="17">
        <f>IF(AND(ISNUMBER(M79),G79&gt;0),(M79-G79)/G79,0)</f>
        <v/>
      </c>
      <c r="Q79" s="18">
        <f>IF(J79&gt;0,O79/J79,0)</f>
        <v/>
      </c>
      <c r="R79" s="15">
        <f>IF(O79="","-",IF(O79&gt;0,"WIN",IF(O79&lt;0,"LOSS","FLAT")))</f>
        <v/>
      </c>
    </row>
    <row r="80">
      <c r="A80" s="8" t="inlineStr"/>
      <c r="B80" s="8" t="inlineStr"/>
      <c r="C80" s="9" t="inlineStr"/>
      <c r="D80" s="10" t="inlineStr"/>
      <c r="E80" s="10" t="inlineStr"/>
      <c r="F80" s="11" t="inlineStr"/>
      <c r="G80" s="10" t="inlineStr"/>
      <c r="H80" s="12">
        <f>IF(G80&gt;0,F80/G80,0)</f>
        <v/>
      </c>
      <c r="I80" s="13">
        <f>IF(G80&gt;0,(G80-D80)/D80,0)</f>
        <v/>
      </c>
      <c r="J80" s="14">
        <f>IF(AND(G80&gt;0,E80&gt;0),H80*(G80-E80),0)</f>
        <v/>
      </c>
      <c r="M80" s="19" t="n"/>
      <c r="N80" s="15">
        <f>IF(AND(ISNUMBER(K80),ISNUMBER(A80)),NETWORKDAYS(A80,K80),0)</f>
        <v/>
      </c>
      <c r="O80" s="16">
        <f>IF(AND(ISNUMBER(M80),H80&gt;0),(M80-G80)*H80,0)</f>
        <v/>
      </c>
      <c r="P80" s="17">
        <f>IF(AND(ISNUMBER(M80),G80&gt;0),(M80-G80)/G80,0)</f>
        <v/>
      </c>
      <c r="Q80" s="18">
        <f>IF(J80&gt;0,O80/J80,0)</f>
        <v/>
      </c>
      <c r="R80" s="15">
        <f>IF(O80="","-",IF(O80&gt;0,"WIN",IF(O80&lt;0,"LOSS","FLAT")))</f>
        <v/>
      </c>
    </row>
    <row r="81">
      <c r="A81" s="8" t="inlineStr"/>
      <c r="B81" s="8" t="inlineStr"/>
      <c r="C81" s="9" t="inlineStr"/>
      <c r="D81" s="10" t="inlineStr"/>
      <c r="E81" s="10" t="inlineStr"/>
      <c r="F81" s="11" t="inlineStr"/>
      <c r="G81" s="10" t="inlineStr"/>
      <c r="H81" s="12">
        <f>IF(G81&gt;0,F81/G81,0)</f>
        <v/>
      </c>
      <c r="I81" s="13">
        <f>IF(G81&gt;0,(G81-D81)/D81,0)</f>
        <v/>
      </c>
      <c r="J81" s="14">
        <f>IF(AND(G81&gt;0,E81&gt;0),H81*(G81-E81),0)</f>
        <v/>
      </c>
      <c r="M81" s="19" t="n"/>
      <c r="N81" s="15">
        <f>IF(AND(ISNUMBER(K81),ISNUMBER(A81)),NETWORKDAYS(A81,K81),0)</f>
        <v/>
      </c>
      <c r="O81" s="16">
        <f>IF(AND(ISNUMBER(M81),H81&gt;0),(M81-G81)*H81,0)</f>
        <v/>
      </c>
      <c r="P81" s="17">
        <f>IF(AND(ISNUMBER(M81),G81&gt;0),(M81-G81)/G81,0)</f>
        <v/>
      </c>
      <c r="Q81" s="18">
        <f>IF(J81&gt;0,O81/J81,0)</f>
        <v/>
      </c>
      <c r="R81" s="15">
        <f>IF(O81="","-",IF(O81&gt;0,"WIN",IF(O81&lt;0,"LOSS","FLAT")))</f>
        <v/>
      </c>
    </row>
    <row r="82">
      <c r="A82" s="8" t="inlineStr"/>
      <c r="B82" s="8" t="inlineStr"/>
      <c r="C82" s="9" t="inlineStr"/>
      <c r="D82" s="10" t="inlineStr"/>
      <c r="E82" s="10" t="inlineStr"/>
      <c r="F82" s="11" t="inlineStr"/>
      <c r="G82" s="10" t="inlineStr"/>
      <c r="H82" s="12">
        <f>IF(G82&gt;0,F82/G82,0)</f>
        <v/>
      </c>
      <c r="I82" s="13">
        <f>IF(G82&gt;0,(G82-D82)/D82,0)</f>
        <v/>
      </c>
      <c r="J82" s="14">
        <f>IF(AND(G82&gt;0,E82&gt;0),H82*(G82-E82),0)</f>
        <v/>
      </c>
      <c r="M82" s="19" t="n"/>
      <c r="N82" s="15">
        <f>IF(AND(ISNUMBER(K82),ISNUMBER(A82)),NETWORKDAYS(A82,K82),0)</f>
        <v/>
      </c>
      <c r="O82" s="16">
        <f>IF(AND(ISNUMBER(M82),H82&gt;0),(M82-G82)*H82,0)</f>
        <v/>
      </c>
      <c r="P82" s="17">
        <f>IF(AND(ISNUMBER(M82),G82&gt;0),(M82-G82)/G82,0)</f>
        <v/>
      </c>
      <c r="Q82" s="18">
        <f>IF(J82&gt;0,O82/J82,0)</f>
        <v/>
      </c>
      <c r="R82" s="15">
        <f>IF(O82="","-",IF(O82&gt;0,"WIN",IF(O82&lt;0,"LOSS","FLAT")))</f>
        <v/>
      </c>
    </row>
    <row r="83">
      <c r="A83" s="8" t="inlineStr"/>
      <c r="B83" s="8" t="inlineStr"/>
      <c r="C83" s="9" t="inlineStr"/>
      <c r="D83" s="10" t="inlineStr"/>
      <c r="E83" s="10" t="inlineStr"/>
      <c r="F83" s="11" t="inlineStr"/>
      <c r="G83" s="10" t="inlineStr"/>
      <c r="H83" s="12">
        <f>IF(G83&gt;0,F83/G83,0)</f>
        <v/>
      </c>
      <c r="I83" s="13">
        <f>IF(G83&gt;0,(G83-D83)/D83,0)</f>
        <v/>
      </c>
      <c r="J83" s="14">
        <f>IF(AND(G83&gt;0,E83&gt;0),H83*(G83-E83),0)</f>
        <v/>
      </c>
      <c r="M83" s="19" t="n"/>
      <c r="N83" s="15">
        <f>IF(AND(ISNUMBER(K83),ISNUMBER(A83)),NETWORKDAYS(A83,K83),0)</f>
        <v/>
      </c>
      <c r="O83" s="16">
        <f>IF(AND(ISNUMBER(M83),H83&gt;0),(M83-G83)*H83,0)</f>
        <v/>
      </c>
      <c r="P83" s="17">
        <f>IF(AND(ISNUMBER(M83),G83&gt;0),(M83-G83)/G83,0)</f>
        <v/>
      </c>
      <c r="Q83" s="18">
        <f>IF(J83&gt;0,O83/J83,0)</f>
        <v/>
      </c>
      <c r="R83" s="15">
        <f>IF(O83="","-",IF(O83&gt;0,"WIN",IF(O83&lt;0,"LOSS","FLAT")))</f>
        <v/>
      </c>
    </row>
    <row r="84">
      <c r="A84" s="8" t="inlineStr"/>
      <c r="B84" s="8" t="inlineStr"/>
      <c r="C84" s="9" t="inlineStr"/>
      <c r="D84" s="10" t="inlineStr"/>
      <c r="E84" s="10" t="inlineStr"/>
      <c r="F84" s="11" t="inlineStr"/>
      <c r="G84" s="10" t="inlineStr"/>
      <c r="H84" s="12">
        <f>IF(G84&gt;0,F84/G84,0)</f>
        <v/>
      </c>
      <c r="I84" s="13">
        <f>IF(G84&gt;0,(G84-D84)/D84,0)</f>
        <v/>
      </c>
      <c r="J84" s="14">
        <f>IF(AND(G84&gt;0,E84&gt;0),H84*(G84-E84),0)</f>
        <v/>
      </c>
      <c r="M84" s="19" t="n"/>
      <c r="N84" s="15">
        <f>IF(AND(ISNUMBER(K84),ISNUMBER(A84)),NETWORKDAYS(A84,K84),0)</f>
        <v/>
      </c>
      <c r="O84" s="16">
        <f>IF(AND(ISNUMBER(M84),H84&gt;0),(M84-G84)*H84,0)</f>
        <v/>
      </c>
      <c r="P84" s="17">
        <f>IF(AND(ISNUMBER(M84),G84&gt;0),(M84-G84)/G84,0)</f>
        <v/>
      </c>
      <c r="Q84" s="18">
        <f>IF(J84&gt;0,O84/J84,0)</f>
        <v/>
      </c>
      <c r="R84" s="15">
        <f>IF(O84="","-",IF(O84&gt;0,"WIN",IF(O84&lt;0,"LOSS","FLAT")))</f>
        <v/>
      </c>
    </row>
    <row r="85">
      <c r="A85" s="8" t="inlineStr"/>
      <c r="B85" s="8" t="inlineStr"/>
      <c r="C85" s="9" t="inlineStr"/>
      <c r="D85" s="10" t="inlineStr"/>
      <c r="E85" s="10" t="inlineStr"/>
      <c r="F85" s="11" t="inlineStr"/>
      <c r="G85" s="10" t="inlineStr"/>
      <c r="H85" s="12">
        <f>IF(G85&gt;0,F85/G85,0)</f>
        <v/>
      </c>
      <c r="I85" s="13">
        <f>IF(G85&gt;0,(G85-D85)/D85,0)</f>
        <v/>
      </c>
      <c r="J85" s="14">
        <f>IF(AND(G85&gt;0,E85&gt;0),H85*(G85-E85),0)</f>
        <v/>
      </c>
      <c r="M85" s="19" t="n"/>
      <c r="N85" s="15">
        <f>IF(AND(ISNUMBER(K85),ISNUMBER(A85)),NETWORKDAYS(A85,K85),0)</f>
        <v/>
      </c>
      <c r="O85" s="16">
        <f>IF(AND(ISNUMBER(M85),H85&gt;0),(M85-G85)*H85,0)</f>
        <v/>
      </c>
      <c r="P85" s="17">
        <f>IF(AND(ISNUMBER(M85),G85&gt;0),(M85-G85)/G85,0)</f>
        <v/>
      </c>
      <c r="Q85" s="18">
        <f>IF(J85&gt;0,O85/J85,0)</f>
        <v/>
      </c>
      <c r="R85" s="15">
        <f>IF(O85="","-",IF(O85&gt;0,"WIN",IF(O85&lt;0,"LOSS","FLAT")))</f>
        <v/>
      </c>
    </row>
    <row r="86">
      <c r="A86" s="8" t="inlineStr"/>
      <c r="B86" s="8" t="inlineStr"/>
      <c r="C86" s="9" t="inlineStr"/>
      <c r="D86" s="10" t="inlineStr"/>
      <c r="E86" s="10" t="inlineStr"/>
      <c r="F86" s="11" t="inlineStr"/>
      <c r="G86" s="10" t="inlineStr"/>
      <c r="H86" s="12">
        <f>IF(G86&gt;0,F86/G86,0)</f>
        <v/>
      </c>
      <c r="I86" s="13">
        <f>IF(G86&gt;0,(G86-D86)/D86,0)</f>
        <v/>
      </c>
      <c r="J86" s="14">
        <f>IF(AND(G86&gt;0,E86&gt;0),H86*(G86-E86),0)</f>
        <v/>
      </c>
      <c r="M86" s="19" t="n"/>
      <c r="N86" s="15">
        <f>IF(AND(ISNUMBER(K86),ISNUMBER(A86)),NETWORKDAYS(A86,K86),0)</f>
        <v/>
      </c>
      <c r="O86" s="16">
        <f>IF(AND(ISNUMBER(M86),H86&gt;0),(M86-G86)*H86,0)</f>
        <v/>
      </c>
      <c r="P86" s="17">
        <f>IF(AND(ISNUMBER(M86),G86&gt;0),(M86-G86)/G86,0)</f>
        <v/>
      </c>
      <c r="Q86" s="18">
        <f>IF(J86&gt;0,O86/J86,0)</f>
        <v/>
      </c>
      <c r="R86" s="15">
        <f>IF(O86="","-",IF(O86&gt;0,"WIN",IF(O86&lt;0,"LOSS","FLAT")))</f>
        <v/>
      </c>
    </row>
    <row r="87">
      <c r="A87" s="8" t="inlineStr"/>
      <c r="B87" s="8" t="inlineStr"/>
      <c r="C87" s="9" t="inlineStr"/>
      <c r="D87" s="10" t="inlineStr"/>
      <c r="E87" s="10" t="inlineStr"/>
      <c r="F87" s="11" t="inlineStr"/>
      <c r="G87" s="10" t="inlineStr"/>
      <c r="H87" s="12">
        <f>IF(G87&gt;0,F87/G87,0)</f>
        <v/>
      </c>
      <c r="I87" s="13">
        <f>IF(G87&gt;0,(G87-D87)/D87,0)</f>
        <v/>
      </c>
      <c r="J87" s="14">
        <f>IF(AND(G87&gt;0,E87&gt;0),H87*(G87-E87),0)</f>
        <v/>
      </c>
      <c r="M87" s="19" t="n"/>
      <c r="N87" s="15">
        <f>IF(AND(ISNUMBER(K87),ISNUMBER(A87)),NETWORKDAYS(A87,K87),0)</f>
        <v/>
      </c>
      <c r="O87" s="16">
        <f>IF(AND(ISNUMBER(M87),H87&gt;0),(M87-G87)*H87,0)</f>
        <v/>
      </c>
      <c r="P87" s="17">
        <f>IF(AND(ISNUMBER(M87),G87&gt;0),(M87-G87)/G87,0)</f>
        <v/>
      </c>
      <c r="Q87" s="18">
        <f>IF(J87&gt;0,O87/J87,0)</f>
        <v/>
      </c>
      <c r="R87" s="15">
        <f>IF(O87="","-",IF(O87&gt;0,"WIN",IF(O87&lt;0,"LOSS","FLAT")))</f>
        <v/>
      </c>
    </row>
    <row r="88">
      <c r="A88" s="8" t="inlineStr"/>
      <c r="B88" s="8" t="inlineStr"/>
      <c r="C88" s="9" t="inlineStr"/>
      <c r="D88" s="10" t="inlineStr"/>
      <c r="E88" s="10" t="inlineStr"/>
      <c r="F88" s="11" t="inlineStr"/>
      <c r="G88" s="10" t="inlineStr"/>
      <c r="H88" s="12">
        <f>IF(G88&gt;0,F88/G88,0)</f>
        <v/>
      </c>
      <c r="I88" s="13">
        <f>IF(G88&gt;0,(G88-D88)/D88,0)</f>
        <v/>
      </c>
      <c r="J88" s="14">
        <f>IF(AND(G88&gt;0,E88&gt;0),H88*(G88-E88),0)</f>
        <v/>
      </c>
      <c r="M88" s="19" t="n"/>
      <c r="N88" s="15">
        <f>IF(AND(ISNUMBER(K88),ISNUMBER(A88)),NETWORKDAYS(A88,K88),0)</f>
        <v/>
      </c>
      <c r="O88" s="16">
        <f>IF(AND(ISNUMBER(M88),H88&gt;0),(M88-G88)*H88,0)</f>
        <v/>
      </c>
      <c r="P88" s="17">
        <f>IF(AND(ISNUMBER(M88),G88&gt;0),(M88-G88)/G88,0)</f>
        <v/>
      </c>
      <c r="Q88" s="18">
        <f>IF(J88&gt;0,O88/J88,0)</f>
        <v/>
      </c>
      <c r="R88" s="15">
        <f>IF(O88="","-",IF(O88&gt;0,"WIN",IF(O88&lt;0,"LOSS","FLAT")))</f>
        <v/>
      </c>
    </row>
    <row r="89">
      <c r="A89" s="8" t="inlineStr"/>
      <c r="B89" s="8" t="inlineStr"/>
      <c r="C89" s="9" t="inlineStr"/>
      <c r="D89" s="10" t="inlineStr"/>
      <c r="E89" s="10" t="inlineStr"/>
      <c r="F89" s="11" t="inlineStr"/>
      <c r="G89" s="10" t="inlineStr"/>
      <c r="H89" s="12">
        <f>IF(G89&gt;0,F89/G89,0)</f>
        <v/>
      </c>
      <c r="I89" s="13">
        <f>IF(G89&gt;0,(G89-D89)/D89,0)</f>
        <v/>
      </c>
      <c r="J89" s="14">
        <f>IF(AND(G89&gt;0,E89&gt;0),H89*(G89-E89),0)</f>
        <v/>
      </c>
      <c r="M89" s="19" t="n"/>
      <c r="N89" s="15">
        <f>IF(AND(ISNUMBER(K89),ISNUMBER(A89)),NETWORKDAYS(A89,K89),0)</f>
        <v/>
      </c>
      <c r="O89" s="16">
        <f>IF(AND(ISNUMBER(M89),H89&gt;0),(M89-G89)*H89,0)</f>
        <v/>
      </c>
      <c r="P89" s="17">
        <f>IF(AND(ISNUMBER(M89),G89&gt;0),(M89-G89)/G89,0)</f>
        <v/>
      </c>
      <c r="Q89" s="18">
        <f>IF(J89&gt;0,O89/J89,0)</f>
        <v/>
      </c>
      <c r="R89" s="15">
        <f>IF(O89="","-",IF(O89&gt;0,"WIN",IF(O89&lt;0,"LOSS","FLAT")))</f>
        <v/>
      </c>
    </row>
    <row r="90">
      <c r="A90" s="8" t="inlineStr"/>
      <c r="B90" s="8" t="inlineStr"/>
      <c r="C90" s="9" t="inlineStr"/>
      <c r="D90" s="10" t="inlineStr"/>
      <c r="E90" s="10" t="inlineStr"/>
      <c r="F90" s="11" t="inlineStr"/>
      <c r="G90" s="10" t="inlineStr"/>
      <c r="H90" s="12">
        <f>IF(G90&gt;0,F90/G90,0)</f>
        <v/>
      </c>
      <c r="I90" s="13">
        <f>IF(G90&gt;0,(G90-D90)/D90,0)</f>
        <v/>
      </c>
      <c r="J90" s="14">
        <f>IF(AND(G90&gt;0,E90&gt;0),H90*(G90-E90),0)</f>
        <v/>
      </c>
      <c r="M90" s="19" t="n"/>
      <c r="N90" s="15">
        <f>IF(AND(ISNUMBER(K90),ISNUMBER(A90)),NETWORKDAYS(A90,K90),0)</f>
        <v/>
      </c>
      <c r="O90" s="16">
        <f>IF(AND(ISNUMBER(M90),H90&gt;0),(M90-G90)*H90,0)</f>
        <v/>
      </c>
      <c r="P90" s="17">
        <f>IF(AND(ISNUMBER(M90),G90&gt;0),(M90-G90)/G90,0)</f>
        <v/>
      </c>
      <c r="Q90" s="18">
        <f>IF(J90&gt;0,O90/J90,0)</f>
        <v/>
      </c>
      <c r="R90" s="15">
        <f>IF(O90="","-",IF(O90&gt;0,"WIN",IF(O90&lt;0,"LOSS","FLAT")))</f>
        <v/>
      </c>
    </row>
    <row r="91">
      <c r="A91" s="8" t="inlineStr"/>
      <c r="B91" s="8" t="inlineStr"/>
      <c r="C91" s="9" t="inlineStr"/>
      <c r="D91" s="10" t="inlineStr"/>
      <c r="E91" s="10" t="inlineStr"/>
      <c r="F91" s="11" t="inlineStr"/>
      <c r="G91" s="10" t="inlineStr"/>
      <c r="H91" s="12">
        <f>IF(G91&gt;0,F91/G91,0)</f>
        <v/>
      </c>
      <c r="I91" s="13">
        <f>IF(G91&gt;0,(G91-D91)/D91,0)</f>
        <v/>
      </c>
      <c r="J91" s="14">
        <f>IF(AND(G91&gt;0,E91&gt;0),H91*(G91-E91),0)</f>
        <v/>
      </c>
      <c r="M91" s="19" t="n"/>
      <c r="N91" s="15">
        <f>IF(AND(ISNUMBER(K91),ISNUMBER(A91)),NETWORKDAYS(A91,K91),0)</f>
        <v/>
      </c>
      <c r="O91" s="16">
        <f>IF(AND(ISNUMBER(M91),H91&gt;0),(M91-G91)*H91,0)</f>
        <v/>
      </c>
      <c r="P91" s="17">
        <f>IF(AND(ISNUMBER(M91),G91&gt;0),(M91-G91)/G91,0)</f>
        <v/>
      </c>
      <c r="Q91" s="18">
        <f>IF(J91&gt;0,O91/J91,0)</f>
        <v/>
      </c>
      <c r="R91" s="15">
        <f>IF(O91="","-",IF(O91&gt;0,"WIN",IF(O91&lt;0,"LOSS","FLAT")))</f>
        <v/>
      </c>
    </row>
    <row r="92">
      <c r="A92" s="8" t="inlineStr"/>
      <c r="B92" s="8" t="inlineStr"/>
      <c r="C92" s="9" t="inlineStr"/>
      <c r="D92" s="10" t="inlineStr"/>
      <c r="E92" s="10" t="inlineStr"/>
      <c r="F92" s="11" t="inlineStr"/>
      <c r="G92" s="10" t="inlineStr"/>
      <c r="H92" s="12">
        <f>IF(G92&gt;0,F92/G92,0)</f>
        <v/>
      </c>
      <c r="I92" s="13">
        <f>IF(G92&gt;0,(G92-D92)/D92,0)</f>
        <v/>
      </c>
      <c r="J92" s="14">
        <f>IF(AND(G92&gt;0,E92&gt;0),H92*(G92-E92),0)</f>
        <v/>
      </c>
      <c r="M92" s="19" t="n"/>
      <c r="N92" s="15">
        <f>IF(AND(ISNUMBER(K92),ISNUMBER(A92)),NETWORKDAYS(A92,K92),0)</f>
        <v/>
      </c>
      <c r="O92" s="16">
        <f>IF(AND(ISNUMBER(M92),H92&gt;0),(M92-G92)*H92,0)</f>
        <v/>
      </c>
      <c r="P92" s="17">
        <f>IF(AND(ISNUMBER(M92),G92&gt;0),(M92-G92)/G92,0)</f>
        <v/>
      </c>
      <c r="Q92" s="18">
        <f>IF(J92&gt;0,O92/J92,0)</f>
        <v/>
      </c>
      <c r="R92" s="15">
        <f>IF(O92="","-",IF(O92&gt;0,"WIN",IF(O92&lt;0,"LOSS","FLAT")))</f>
        <v/>
      </c>
    </row>
    <row r="93">
      <c r="A93" s="8" t="inlineStr"/>
      <c r="B93" s="8" t="inlineStr"/>
      <c r="C93" s="9" t="inlineStr"/>
      <c r="D93" s="10" t="inlineStr"/>
      <c r="E93" s="10" t="inlineStr"/>
      <c r="F93" s="11" t="inlineStr"/>
      <c r="G93" s="10" t="inlineStr"/>
      <c r="H93" s="12">
        <f>IF(G93&gt;0,F93/G93,0)</f>
        <v/>
      </c>
      <c r="I93" s="13">
        <f>IF(G93&gt;0,(G93-D93)/D93,0)</f>
        <v/>
      </c>
      <c r="J93" s="14">
        <f>IF(AND(G93&gt;0,E93&gt;0),H93*(G93-E93),0)</f>
        <v/>
      </c>
      <c r="M93" s="19" t="n"/>
      <c r="N93" s="15">
        <f>IF(AND(ISNUMBER(K93),ISNUMBER(A93)),NETWORKDAYS(A93,K93),0)</f>
        <v/>
      </c>
      <c r="O93" s="16">
        <f>IF(AND(ISNUMBER(M93),H93&gt;0),(M93-G93)*H93,0)</f>
        <v/>
      </c>
      <c r="P93" s="17">
        <f>IF(AND(ISNUMBER(M93),G93&gt;0),(M93-G93)/G93,0)</f>
        <v/>
      </c>
      <c r="Q93" s="18">
        <f>IF(J93&gt;0,O93/J93,0)</f>
        <v/>
      </c>
      <c r="R93" s="15">
        <f>IF(O93="","-",IF(O93&gt;0,"WIN",IF(O93&lt;0,"LOSS","FLAT")))</f>
        <v/>
      </c>
    </row>
    <row r="94">
      <c r="A94" s="8" t="inlineStr"/>
      <c r="B94" s="8" t="inlineStr"/>
      <c r="C94" s="9" t="inlineStr"/>
      <c r="D94" s="10" t="inlineStr"/>
      <c r="E94" s="10" t="inlineStr"/>
      <c r="F94" s="11" t="inlineStr"/>
      <c r="G94" s="10" t="inlineStr"/>
      <c r="H94" s="12">
        <f>IF(G94&gt;0,F94/G94,0)</f>
        <v/>
      </c>
      <c r="I94" s="13">
        <f>IF(G94&gt;0,(G94-D94)/D94,0)</f>
        <v/>
      </c>
      <c r="J94" s="14">
        <f>IF(AND(G94&gt;0,E94&gt;0),H94*(G94-E94),0)</f>
        <v/>
      </c>
      <c r="M94" s="19" t="n"/>
      <c r="N94" s="15">
        <f>IF(AND(ISNUMBER(K94),ISNUMBER(A94)),NETWORKDAYS(A94,K94),0)</f>
        <v/>
      </c>
      <c r="O94" s="16">
        <f>IF(AND(ISNUMBER(M94),H94&gt;0),(M94-G94)*H94,0)</f>
        <v/>
      </c>
      <c r="P94" s="17">
        <f>IF(AND(ISNUMBER(M94),G94&gt;0),(M94-G94)/G94,0)</f>
        <v/>
      </c>
      <c r="Q94" s="18">
        <f>IF(J94&gt;0,O94/J94,0)</f>
        <v/>
      </c>
      <c r="R94" s="15">
        <f>IF(O94="","-",IF(O94&gt;0,"WIN",IF(O94&lt;0,"LOSS","FLAT")))</f>
        <v/>
      </c>
    </row>
    <row r="95">
      <c r="A95" s="8" t="inlineStr"/>
      <c r="B95" s="8" t="inlineStr"/>
      <c r="C95" s="9" t="inlineStr"/>
      <c r="D95" s="10" t="inlineStr"/>
      <c r="E95" s="10" t="inlineStr"/>
      <c r="F95" s="11" t="inlineStr"/>
      <c r="G95" s="10" t="inlineStr"/>
      <c r="H95" s="12">
        <f>IF(G95&gt;0,F95/G95,0)</f>
        <v/>
      </c>
      <c r="I95" s="13">
        <f>IF(G95&gt;0,(G95-D95)/D95,0)</f>
        <v/>
      </c>
      <c r="J95" s="14">
        <f>IF(AND(G95&gt;0,E95&gt;0),H95*(G95-E95),0)</f>
        <v/>
      </c>
      <c r="M95" s="19" t="n"/>
      <c r="N95" s="15">
        <f>IF(AND(ISNUMBER(K95),ISNUMBER(A95)),NETWORKDAYS(A95,K95),0)</f>
        <v/>
      </c>
      <c r="O95" s="16">
        <f>IF(AND(ISNUMBER(M95),H95&gt;0),(M95-G95)*H95,0)</f>
        <v/>
      </c>
      <c r="P95" s="17">
        <f>IF(AND(ISNUMBER(M95),G95&gt;0),(M95-G95)/G95,0)</f>
        <v/>
      </c>
      <c r="Q95" s="18">
        <f>IF(J95&gt;0,O95/J95,0)</f>
        <v/>
      </c>
      <c r="R95" s="15">
        <f>IF(O95="","-",IF(O95&gt;0,"WIN",IF(O95&lt;0,"LOSS","FLAT")))</f>
        <v/>
      </c>
    </row>
    <row r="96">
      <c r="A96" s="8" t="inlineStr"/>
      <c r="B96" s="8" t="inlineStr"/>
      <c r="C96" s="9" t="inlineStr"/>
      <c r="D96" s="10" t="inlineStr"/>
      <c r="E96" s="10" t="inlineStr"/>
      <c r="F96" s="11" t="inlineStr"/>
      <c r="G96" s="10" t="inlineStr"/>
      <c r="H96" s="12">
        <f>IF(G96&gt;0,F96/G96,0)</f>
        <v/>
      </c>
      <c r="I96" s="13">
        <f>IF(G96&gt;0,(G96-D96)/D96,0)</f>
        <v/>
      </c>
      <c r="J96" s="14">
        <f>IF(AND(G96&gt;0,E96&gt;0),H96*(G96-E96),0)</f>
        <v/>
      </c>
      <c r="M96" s="19" t="n"/>
      <c r="N96" s="15">
        <f>IF(AND(ISNUMBER(K96),ISNUMBER(A96)),NETWORKDAYS(A96,K96),0)</f>
        <v/>
      </c>
      <c r="O96" s="16">
        <f>IF(AND(ISNUMBER(M96),H96&gt;0),(M96-G96)*H96,0)</f>
        <v/>
      </c>
      <c r="P96" s="17">
        <f>IF(AND(ISNUMBER(M96),G96&gt;0),(M96-G96)/G96,0)</f>
        <v/>
      </c>
      <c r="Q96" s="18">
        <f>IF(J96&gt;0,O96/J96,0)</f>
        <v/>
      </c>
      <c r="R96" s="15">
        <f>IF(O96="","-",IF(O96&gt;0,"WIN",IF(O96&lt;0,"LOSS","FLAT")))</f>
        <v/>
      </c>
    </row>
    <row r="97">
      <c r="A97" s="8" t="inlineStr"/>
      <c r="B97" s="8" t="inlineStr"/>
      <c r="C97" s="9" t="inlineStr"/>
      <c r="D97" s="10" t="inlineStr"/>
      <c r="E97" s="10" t="inlineStr"/>
      <c r="F97" s="11" t="inlineStr"/>
      <c r="G97" s="10" t="inlineStr"/>
      <c r="H97" s="12">
        <f>IF(G97&gt;0,F97/G97,0)</f>
        <v/>
      </c>
      <c r="I97" s="13">
        <f>IF(G97&gt;0,(G97-D97)/D97,0)</f>
        <v/>
      </c>
      <c r="J97" s="14">
        <f>IF(AND(G97&gt;0,E97&gt;0),H97*(G97-E97),0)</f>
        <v/>
      </c>
      <c r="M97" s="19" t="n"/>
      <c r="N97" s="15">
        <f>IF(AND(ISNUMBER(K97),ISNUMBER(A97)),NETWORKDAYS(A97,K97),0)</f>
        <v/>
      </c>
      <c r="O97" s="16">
        <f>IF(AND(ISNUMBER(M97),H97&gt;0),(M97-G97)*H97,0)</f>
        <v/>
      </c>
      <c r="P97" s="17">
        <f>IF(AND(ISNUMBER(M97),G97&gt;0),(M97-G97)/G97,0)</f>
        <v/>
      </c>
      <c r="Q97" s="18">
        <f>IF(J97&gt;0,O97/J97,0)</f>
        <v/>
      </c>
      <c r="R97" s="15">
        <f>IF(O97="","-",IF(O97&gt;0,"WIN",IF(O97&lt;0,"LOSS","FLAT")))</f>
        <v/>
      </c>
    </row>
    <row r="98">
      <c r="A98" s="8" t="inlineStr"/>
      <c r="B98" s="8" t="inlineStr"/>
      <c r="C98" s="9" t="inlineStr"/>
      <c r="D98" s="10" t="inlineStr"/>
      <c r="E98" s="10" t="inlineStr"/>
      <c r="F98" s="11" t="inlineStr"/>
      <c r="G98" s="10" t="inlineStr"/>
      <c r="H98" s="12">
        <f>IF(G98&gt;0,F98/G98,0)</f>
        <v/>
      </c>
      <c r="I98" s="13">
        <f>IF(G98&gt;0,(G98-D98)/D98,0)</f>
        <v/>
      </c>
      <c r="J98" s="14">
        <f>IF(AND(G98&gt;0,E98&gt;0),H98*(G98-E98),0)</f>
        <v/>
      </c>
      <c r="M98" s="19" t="n"/>
      <c r="N98" s="15">
        <f>IF(AND(ISNUMBER(K98),ISNUMBER(A98)),NETWORKDAYS(A98,K98),0)</f>
        <v/>
      </c>
      <c r="O98" s="16">
        <f>IF(AND(ISNUMBER(M98),H98&gt;0),(M98-G98)*H98,0)</f>
        <v/>
      </c>
      <c r="P98" s="17">
        <f>IF(AND(ISNUMBER(M98),G98&gt;0),(M98-G98)/G98,0)</f>
        <v/>
      </c>
      <c r="Q98" s="18">
        <f>IF(J98&gt;0,O98/J98,0)</f>
        <v/>
      </c>
      <c r="R98" s="15">
        <f>IF(O98="","-",IF(O98&gt;0,"WIN",IF(O98&lt;0,"LOSS","FLAT")))</f>
        <v/>
      </c>
    </row>
    <row r="99">
      <c r="A99" s="8" t="inlineStr"/>
      <c r="B99" s="8" t="inlineStr"/>
      <c r="C99" s="9" t="inlineStr"/>
      <c r="D99" s="10" t="inlineStr"/>
      <c r="E99" s="10" t="inlineStr"/>
      <c r="F99" s="11" t="inlineStr"/>
      <c r="G99" s="10" t="inlineStr"/>
      <c r="H99" s="12">
        <f>IF(G99&gt;0,F99/G99,0)</f>
        <v/>
      </c>
      <c r="I99" s="13">
        <f>IF(G99&gt;0,(G99-D99)/D99,0)</f>
        <v/>
      </c>
      <c r="J99" s="14">
        <f>IF(AND(G99&gt;0,E99&gt;0),H99*(G99-E99),0)</f>
        <v/>
      </c>
      <c r="M99" s="19" t="n"/>
      <c r="N99" s="15">
        <f>IF(AND(ISNUMBER(K99),ISNUMBER(A99)),NETWORKDAYS(A99,K99),0)</f>
        <v/>
      </c>
      <c r="O99" s="16">
        <f>IF(AND(ISNUMBER(M99),H99&gt;0),(M99-G99)*H99,0)</f>
        <v/>
      </c>
      <c r="P99" s="17">
        <f>IF(AND(ISNUMBER(M99),G99&gt;0),(M99-G99)/G99,0)</f>
        <v/>
      </c>
      <c r="Q99" s="18">
        <f>IF(J99&gt;0,O99/J99,0)</f>
        <v/>
      </c>
      <c r="R99" s="15">
        <f>IF(O99="","-",IF(O99&gt;0,"WIN",IF(O99&lt;0,"LOSS","FLAT")))</f>
        <v/>
      </c>
    </row>
    <row r="100">
      <c r="A100" s="8" t="inlineStr"/>
      <c r="B100" s="8" t="inlineStr"/>
      <c r="C100" s="9" t="inlineStr"/>
      <c r="D100" s="10" t="inlineStr"/>
      <c r="E100" s="10" t="inlineStr"/>
      <c r="F100" s="11" t="inlineStr"/>
      <c r="G100" s="10" t="inlineStr"/>
      <c r="H100" s="12">
        <f>IF(G100&gt;0,F100/G100,0)</f>
        <v/>
      </c>
      <c r="I100" s="13">
        <f>IF(G100&gt;0,(G100-D100)/D100,0)</f>
        <v/>
      </c>
      <c r="J100" s="14">
        <f>IF(AND(G100&gt;0,E100&gt;0),H100*(G100-E100),0)</f>
        <v/>
      </c>
      <c r="M100" s="19" t="n"/>
      <c r="N100" s="15">
        <f>IF(AND(ISNUMBER(K100),ISNUMBER(A100)),NETWORKDAYS(A100,K100),0)</f>
        <v/>
      </c>
      <c r="O100" s="16">
        <f>IF(AND(ISNUMBER(M100),H100&gt;0),(M100-G100)*H100,0)</f>
        <v/>
      </c>
      <c r="P100" s="17">
        <f>IF(AND(ISNUMBER(M100),G100&gt;0),(M100-G100)/G100,0)</f>
        <v/>
      </c>
      <c r="Q100" s="18">
        <f>IF(J100&gt;0,O100/J100,0)</f>
        <v/>
      </c>
      <c r="R100" s="15">
        <f>IF(O100="","-",IF(O100&gt;0,"WIN",IF(O100&lt;0,"LOSS","FLAT")))</f>
        <v/>
      </c>
    </row>
    <row r="101">
      <c r="A101" s="8" t="inlineStr"/>
      <c r="B101" s="8" t="inlineStr"/>
      <c r="C101" s="9" t="inlineStr"/>
      <c r="D101" s="10" t="inlineStr"/>
      <c r="E101" s="10" t="inlineStr"/>
      <c r="F101" s="11" t="inlineStr"/>
      <c r="G101" s="10" t="inlineStr"/>
      <c r="H101" s="12">
        <f>IF(G101&gt;0,F101/G101,0)</f>
        <v/>
      </c>
      <c r="I101" s="13">
        <f>IF(G101&gt;0,(G101-D101)/D101,0)</f>
        <v/>
      </c>
      <c r="J101" s="14">
        <f>IF(AND(G101&gt;0,E101&gt;0),H101*(G101-E101),0)</f>
        <v/>
      </c>
      <c r="M101" s="19" t="n"/>
      <c r="N101" s="15">
        <f>IF(AND(ISNUMBER(K101),ISNUMBER(A101)),NETWORKDAYS(A101,K101),0)</f>
        <v/>
      </c>
      <c r="O101" s="16">
        <f>IF(AND(ISNUMBER(M101),H101&gt;0),(M101-G101)*H101,0)</f>
        <v/>
      </c>
      <c r="P101" s="17">
        <f>IF(AND(ISNUMBER(M101),G101&gt;0),(M101-G101)/G101,0)</f>
        <v/>
      </c>
      <c r="Q101" s="18">
        <f>IF(J101&gt;0,O101/J101,0)</f>
        <v/>
      </c>
      <c r="R101" s="15">
        <f>IF(O101="","-",IF(O101&gt;0,"WIN",IF(O101&lt;0,"LOSS","FLAT")))</f>
        <v/>
      </c>
    </row>
    <row r="102">
      <c r="A102" s="8" t="inlineStr"/>
      <c r="B102" s="8" t="inlineStr"/>
      <c r="C102" s="9" t="inlineStr"/>
      <c r="D102" s="10" t="inlineStr"/>
      <c r="E102" s="10" t="inlineStr"/>
      <c r="F102" s="11" t="inlineStr"/>
      <c r="G102" s="10" t="inlineStr"/>
      <c r="H102" s="12">
        <f>IF(G102&gt;0,F102/G102,0)</f>
        <v/>
      </c>
      <c r="I102" s="13">
        <f>IF(G102&gt;0,(G102-D102)/D102,0)</f>
        <v/>
      </c>
      <c r="J102" s="14">
        <f>IF(AND(G102&gt;0,E102&gt;0),H102*(G102-E102),0)</f>
        <v/>
      </c>
      <c r="M102" s="19" t="n"/>
      <c r="N102" s="15">
        <f>IF(AND(ISNUMBER(K102),ISNUMBER(A102)),NETWORKDAYS(A102,K102),0)</f>
        <v/>
      </c>
      <c r="O102" s="16">
        <f>IF(AND(ISNUMBER(M102),H102&gt;0),(M102-G102)*H102,0)</f>
        <v/>
      </c>
      <c r="P102" s="17">
        <f>IF(AND(ISNUMBER(M102),G102&gt;0),(M102-G102)/G102,0)</f>
        <v/>
      </c>
      <c r="Q102" s="18">
        <f>IF(J102&gt;0,O102/J102,0)</f>
        <v/>
      </c>
      <c r="R102" s="15">
        <f>IF(O102="","-",IF(O102&gt;0,"WIN",IF(O102&lt;0,"LOSS","FLAT")))</f>
        <v/>
      </c>
    </row>
    <row r="103">
      <c r="A103" s="8" t="inlineStr"/>
      <c r="B103" s="8" t="inlineStr"/>
      <c r="C103" s="9" t="inlineStr"/>
      <c r="D103" s="10" t="inlineStr"/>
      <c r="E103" s="10" t="inlineStr"/>
      <c r="F103" s="11" t="inlineStr"/>
      <c r="G103" s="10" t="inlineStr"/>
      <c r="H103" s="12">
        <f>IF(G103&gt;0,F103/G103,0)</f>
        <v/>
      </c>
      <c r="I103" s="13">
        <f>IF(G103&gt;0,(G103-D103)/D103,0)</f>
        <v/>
      </c>
      <c r="J103" s="14">
        <f>IF(AND(G103&gt;0,E103&gt;0),H103*(G103-E103),0)</f>
        <v/>
      </c>
      <c r="M103" s="19" t="n"/>
      <c r="N103" s="15">
        <f>IF(AND(ISNUMBER(K103),ISNUMBER(A103)),NETWORKDAYS(A103,K103),0)</f>
        <v/>
      </c>
      <c r="O103" s="16">
        <f>IF(AND(ISNUMBER(M103),H103&gt;0),(M103-G103)*H103,0)</f>
        <v/>
      </c>
      <c r="P103" s="17">
        <f>IF(AND(ISNUMBER(M103),G103&gt;0),(M103-G103)/G103,0)</f>
        <v/>
      </c>
      <c r="Q103" s="18">
        <f>IF(J103&gt;0,O103/J103,0)</f>
        <v/>
      </c>
      <c r="R103" s="15">
        <f>IF(O103="","-",IF(O103&gt;0,"WIN",IF(O103&lt;0,"LOSS","FLAT")))</f>
        <v/>
      </c>
    </row>
    <row r="104">
      <c r="A104" s="8" t="inlineStr"/>
      <c r="B104" s="8" t="inlineStr"/>
      <c r="C104" s="9" t="inlineStr"/>
      <c r="D104" s="10" t="inlineStr"/>
      <c r="E104" s="10" t="inlineStr"/>
      <c r="F104" s="11" t="inlineStr"/>
      <c r="G104" s="10" t="inlineStr"/>
      <c r="H104" s="12">
        <f>IF(G104&gt;0,F104/G104,0)</f>
        <v/>
      </c>
      <c r="I104" s="13">
        <f>IF(G104&gt;0,(G104-D104)/D104,0)</f>
        <v/>
      </c>
      <c r="J104" s="14">
        <f>IF(AND(G104&gt;0,E104&gt;0),H104*(G104-E104),0)</f>
        <v/>
      </c>
      <c r="M104" s="19" t="n"/>
      <c r="N104" s="15">
        <f>IF(AND(ISNUMBER(K104),ISNUMBER(A104)),NETWORKDAYS(A104,K104),0)</f>
        <v/>
      </c>
      <c r="O104" s="16">
        <f>IF(AND(ISNUMBER(M104),H104&gt;0),(M104-G104)*H104,0)</f>
        <v/>
      </c>
      <c r="P104" s="17">
        <f>IF(AND(ISNUMBER(M104),G104&gt;0),(M104-G104)/G104,0)</f>
        <v/>
      </c>
      <c r="Q104" s="18">
        <f>IF(J104&gt;0,O104/J104,0)</f>
        <v/>
      </c>
      <c r="R104" s="15">
        <f>IF(O104="","-",IF(O104&gt;0,"WIN",IF(O104&lt;0,"LOSS","FLAT")))</f>
        <v/>
      </c>
    </row>
    <row r="105">
      <c r="A105" s="8" t="inlineStr"/>
      <c r="B105" s="8" t="inlineStr"/>
      <c r="C105" s="9" t="inlineStr"/>
      <c r="D105" s="10" t="inlineStr"/>
      <c r="E105" s="10" t="inlineStr"/>
      <c r="F105" s="11" t="inlineStr"/>
      <c r="G105" s="10" t="inlineStr"/>
      <c r="H105" s="12">
        <f>IF(G105&gt;0,F105/G105,0)</f>
        <v/>
      </c>
      <c r="I105" s="13">
        <f>IF(G105&gt;0,(G105-D105)/D105,0)</f>
        <v/>
      </c>
      <c r="J105" s="14">
        <f>IF(AND(G105&gt;0,E105&gt;0),H105*(G105-E105),0)</f>
        <v/>
      </c>
      <c r="M105" s="19" t="n"/>
      <c r="N105" s="15">
        <f>IF(AND(ISNUMBER(K105),ISNUMBER(A105)),NETWORKDAYS(A105,K105),0)</f>
        <v/>
      </c>
      <c r="O105" s="16">
        <f>IF(AND(ISNUMBER(M105),H105&gt;0),(M105-G105)*H105,0)</f>
        <v/>
      </c>
      <c r="P105" s="17">
        <f>IF(AND(ISNUMBER(M105),G105&gt;0),(M105-G105)/G105,0)</f>
        <v/>
      </c>
      <c r="Q105" s="18">
        <f>IF(J105&gt;0,O105/J105,0)</f>
        <v/>
      </c>
      <c r="R105" s="15">
        <f>IF(O105="","-",IF(O105&gt;0,"WIN",IF(O105&lt;0,"LOSS","FLAT")))</f>
        <v/>
      </c>
    </row>
    <row r="106">
      <c r="A106" s="8" t="inlineStr"/>
      <c r="B106" s="8" t="inlineStr"/>
      <c r="C106" s="9" t="inlineStr"/>
      <c r="D106" s="10" t="inlineStr"/>
      <c r="E106" s="10" t="inlineStr"/>
      <c r="F106" s="11" t="inlineStr"/>
      <c r="G106" s="10" t="inlineStr"/>
      <c r="H106" s="12">
        <f>IF(G106&gt;0,F106/G106,0)</f>
        <v/>
      </c>
      <c r="I106" s="13">
        <f>IF(G106&gt;0,(G106-D106)/D106,0)</f>
        <v/>
      </c>
      <c r="J106" s="14">
        <f>IF(AND(G106&gt;0,E106&gt;0),H106*(G106-E106),0)</f>
        <v/>
      </c>
      <c r="M106" s="19" t="n"/>
      <c r="N106" s="15">
        <f>IF(AND(ISNUMBER(K106),ISNUMBER(A106)),NETWORKDAYS(A106,K106),0)</f>
        <v/>
      </c>
      <c r="O106" s="16">
        <f>IF(AND(ISNUMBER(M106),H106&gt;0),(M106-G106)*H106,0)</f>
        <v/>
      </c>
      <c r="P106" s="17">
        <f>IF(AND(ISNUMBER(M106),G106&gt;0),(M106-G106)/G106,0)</f>
        <v/>
      </c>
      <c r="Q106" s="18">
        <f>IF(J106&gt;0,O106/J106,0)</f>
        <v/>
      </c>
      <c r="R106" s="15">
        <f>IF(O106="","-",IF(O106&gt;0,"WIN",IF(O106&lt;0,"LOSS","FLAT")))</f>
        <v/>
      </c>
    </row>
    <row r="107">
      <c r="A107" s="8" t="inlineStr"/>
      <c r="B107" s="8" t="inlineStr"/>
      <c r="C107" s="9" t="inlineStr"/>
      <c r="D107" s="10" t="inlineStr"/>
      <c r="E107" s="10" t="inlineStr"/>
      <c r="F107" s="11" t="inlineStr"/>
      <c r="G107" s="10" t="inlineStr"/>
      <c r="H107" s="12">
        <f>IF(G107&gt;0,F107/G107,0)</f>
        <v/>
      </c>
      <c r="I107" s="13">
        <f>IF(G107&gt;0,(G107-D107)/D107,0)</f>
        <v/>
      </c>
      <c r="J107" s="14">
        <f>IF(AND(G107&gt;0,E107&gt;0),H107*(G107-E107),0)</f>
        <v/>
      </c>
      <c r="M107" s="19" t="n"/>
      <c r="N107" s="15">
        <f>IF(AND(ISNUMBER(K107),ISNUMBER(A107)),NETWORKDAYS(A107,K107),0)</f>
        <v/>
      </c>
      <c r="O107" s="16">
        <f>IF(AND(ISNUMBER(M107),H107&gt;0),(M107-G107)*H107,0)</f>
        <v/>
      </c>
      <c r="P107" s="17">
        <f>IF(AND(ISNUMBER(M107),G107&gt;0),(M107-G107)/G107,0)</f>
        <v/>
      </c>
      <c r="Q107" s="18">
        <f>IF(J107&gt;0,O107/J107,0)</f>
        <v/>
      </c>
      <c r="R107" s="15">
        <f>IF(O107="","-",IF(O107&gt;0,"WIN",IF(O107&lt;0,"LOSS","FLAT")))</f>
        <v/>
      </c>
    </row>
    <row r="108">
      <c r="A108" s="8" t="inlineStr"/>
      <c r="B108" s="8" t="inlineStr"/>
      <c r="C108" s="9" t="inlineStr"/>
      <c r="D108" s="10" t="inlineStr"/>
      <c r="E108" s="10" t="inlineStr"/>
      <c r="F108" s="11" t="inlineStr"/>
      <c r="G108" s="10" t="inlineStr"/>
      <c r="H108" s="12">
        <f>IF(G108&gt;0,F108/G108,0)</f>
        <v/>
      </c>
      <c r="I108" s="13">
        <f>IF(G108&gt;0,(G108-D108)/D108,0)</f>
        <v/>
      </c>
      <c r="J108" s="14">
        <f>IF(AND(G108&gt;0,E108&gt;0),H108*(G108-E108),0)</f>
        <v/>
      </c>
      <c r="M108" s="19" t="n"/>
      <c r="N108" s="15">
        <f>IF(AND(ISNUMBER(K108),ISNUMBER(A108)),NETWORKDAYS(A108,K108),0)</f>
        <v/>
      </c>
      <c r="O108" s="16">
        <f>IF(AND(ISNUMBER(M108),H108&gt;0),(M108-G108)*H108,0)</f>
        <v/>
      </c>
      <c r="P108" s="17">
        <f>IF(AND(ISNUMBER(M108),G108&gt;0),(M108-G108)/G108,0)</f>
        <v/>
      </c>
      <c r="Q108" s="18">
        <f>IF(J108&gt;0,O108/J108,0)</f>
        <v/>
      </c>
      <c r="R108" s="15">
        <f>IF(O108="","-",IF(O108&gt;0,"WIN",IF(O108&lt;0,"LOSS","FLAT")))</f>
        <v/>
      </c>
    </row>
    <row r="109">
      <c r="A109" s="8" t="inlineStr"/>
      <c r="B109" s="8" t="inlineStr"/>
      <c r="C109" s="9" t="inlineStr"/>
      <c r="D109" s="10" t="inlineStr"/>
      <c r="E109" s="10" t="inlineStr"/>
      <c r="F109" s="11" t="inlineStr"/>
      <c r="G109" s="10" t="inlineStr"/>
      <c r="H109" s="12">
        <f>IF(G109&gt;0,F109/G109,0)</f>
        <v/>
      </c>
      <c r="I109" s="13">
        <f>IF(G109&gt;0,(G109-D109)/D109,0)</f>
        <v/>
      </c>
      <c r="J109" s="14">
        <f>IF(AND(G109&gt;0,E109&gt;0),H109*(G109-E109),0)</f>
        <v/>
      </c>
      <c r="M109" s="19" t="n"/>
      <c r="N109" s="15">
        <f>IF(AND(ISNUMBER(K109),ISNUMBER(A109)),NETWORKDAYS(A109,K109),0)</f>
        <v/>
      </c>
      <c r="O109" s="16">
        <f>IF(AND(ISNUMBER(M109),H109&gt;0),(M109-G109)*H109,0)</f>
        <v/>
      </c>
      <c r="P109" s="17">
        <f>IF(AND(ISNUMBER(M109),G109&gt;0),(M109-G109)/G109,0)</f>
        <v/>
      </c>
      <c r="Q109" s="18">
        <f>IF(J109&gt;0,O109/J109,0)</f>
        <v/>
      </c>
      <c r="R109" s="15">
        <f>IF(O109="","-",IF(O109&gt;0,"WIN",IF(O109&lt;0,"LOSS","FLAT")))</f>
        <v/>
      </c>
    </row>
    <row r="110">
      <c r="A110" s="8" t="inlineStr"/>
      <c r="B110" s="8" t="inlineStr"/>
      <c r="C110" s="9" t="inlineStr"/>
      <c r="D110" s="10" t="inlineStr"/>
      <c r="E110" s="10" t="inlineStr"/>
      <c r="F110" s="11" t="inlineStr"/>
      <c r="G110" s="10" t="inlineStr"/>
      <c r="H110" s="12">
        <f>IF(G110&gt;0,F110/G110,0)</f>
        <v/>
      </c>
      <c r="I110" s="13">
        <f>IF(G110&gt;0,(G110-D110)/D110,0)</f>
        <v/>
      </c>
      <c r="J110" s="14">
        <f>IF(AND(G110&gt;0,E110&gt;0),H110*(G110-E110),0)</f>
        <v/>
      </c>
      <c r="M110" s="19" t="n"/>
      <c r="N110" s="15">
        <f>IF(AND(ISNUMBER(K110),ISNUMBER(A110)),NETWORKDAYS(A110,K110),0)</f>
        <v/>
      </c>
      <c r="O110" s="16">
        <f>IF(AND(ISNUMBER(M110),H110&gt;0),(M110-G110)*H110,0)</f>
        <v/>
      </c>
      <c r="P110" s="17">
        <f>IF(AND(ISNUMBER(M110),G110&gt;0),(M110-G110)/G110,0)</f>
        <v/>
      </c>
      <c r="Q110" s="18">
        <f>IF(J110&gt;0,O110/J110,0)</f>
        <v/>
      </c>
      <c r="R110" s="15">
        <f>IF(O110="","-",IF(O110&gt;0,"WIN",IF(O110&lt;0,"LOSS","FLAT")))</f>
        <v/>
      </c>
    </row>
    <row r="111">
      <c r="A111" s="8" t="inlineStr"/>
      <c r="B111" s="8" t="inlineStr"/>
      <c r="C111" s="9" t="inlineStr"/>
      <c r="D111" s="10" t="inlineStr"/>
      <c r="E111" s="10" t="inlineStr"/>
      <c r="F111" s="11" t="inlineStr"/>
      <c r="G111" s="10" t="inlineStr"/>
      <c r="H111" s="12">
        <f>IF(G111&gt;0,F111/G111,0)</f>
        <v/>
      </c>
      <c r="I111" s="13">
        <f>IF(G111&gt;0,(G111-D111)/D111,0)</f>
        <v/>
      </c>
      <c r="J111" s="14">
        <f>IF(AND(G111&gt;0,E111&gt;0),H111*(G111-E111),0)</f>
        <v/>
      </c>
      <c r="M111" s="19" t="n"/>
      <c r="N111" s="15">
        <f>IF(AND(ISNUMBER(K111),ISNUMBER(A111)),NETWORKDAYS(A111,K111),0)</f>
        <v/>
      </c>
      <c r="O111" s="16">
        <f>IF(AND(ISNUMBER(M111),H111&gt;0),(M111-G111)*H111,0)</f>
        <v/>
      </c>
      <c r="P111" s="17">
        <f>IF(AND(ISNUMBER(M111),G111&gt;0),(M111-G111)/G111,0)</f>
        <v/>
      </c>
      <c r="Q111" s="18">
        <f>IF(J111&gt;0,O111/J111,0)</f>
        <v/>
      </c>
      <c r="R111" s="15">
        <f>IF(O111="","-",IF(O111&gt;0,"WIN",IF(O111&lt;0,"LOSS","FLAT")))</f>
        <v/>
      </c>
    </row>
    <row r="112">
      <c r="A112" s="8" t="inlineStr"/>
      <c r="B112" s="8" t="inlineStr"/>
      <c r="C112" s="9" t="inlineStr"/>
      <c r="D112" s="10" t="inlineStr"/>
      <c r="E112" s="10" t="inlineStr"/>
      <c r="F112" s="11" t="inlineStr"/>
      <c r="G112" s="10" t="inlineStr"/>
      <c r="H112" s="12">
        <f>IF(G112&gt;0,F112/G112,0)</f>
        <v/>
      </c>
      <c r="I112" s="13">
        <f>IF(G112&gt;0,(G112-D112)/D112,0)</f>
        <v/>
      </c>
      <c r="J112" s="14">
        <f>IF(AND(G112&gt;0,E112&gt;0),H112*(G112-E112),0)</f>
        <v/>
      </c>
      <c r="M112" s="19" t="n"/>
      <c r="N112" s="15">
        <f>IF(AND(ISNUMBER(K112),ISNUMBER(A112)),NETWORKDAYS(A112,K112),0)</f>
        <v/>
      </c>
      <c r="O112" s="16">
        <f>IF(AND(ISNUMBER(M112),H112&gt;0),(M112-G112)*H112,0)</f>
        <v/>
      </c>
      <c r="P112" s="17">
        <f>IF(AND(ISNUMBER(M112),G112&gt;0),(M112-G112)/G112,0)</f>
        <v/>
      </c>
      <c r="Q112" s="18">
        <f>IF(J112&gt;0,O112/J112,0)</f>
        <v/>
      </c>
      <c r="R112" s="15">
        <f>IF(O112="","-",IF(O112&gt;0,"WIN",IF(O112&lt;0,"LOSS","FLAT")))</f>
        <v/>
      </c>
    </row>
    <row r="113">
      <c r="A113" s="8" t="inlineStr"/>
      <c r="B113" s="8" t="inlineStr"/>
      <c r="C113" s="9" t="inlineStr"/>
      <c r="D113" s="10" t="inlineStr"/>
      <c r="E113" s="10" t="inlineStr"/>
      <c r="F113" s="11" t="inlineStr"/>
      <c r="G113" s="10" t="inlineStr"/>
      <c r="H113" s="12">
        <f>IF(G113&gt;0,F113/G113,0)</f>
        <v/>
      </c>
      <c r="I113" s="13">
        <f>IF(G113&gt;0,(G113-D113)/D113,0)</f>
        <v/>
      </c>
      <c r="J113" s="14">
        <f>IF(AND(G113&gt;0,E113&gt;0),H113*(G113-E113),0)</f>
        <v/>
      </c>
      <c r="M113" s="19" t="n"/>
      <c r="N113" s="15">
        <f>IF(AND(ISNUMBER(K113),ISNUMBER(A113)),NETWORKDAYS(A113,K113),0)</f>
        <v/>
      </c>
      <c r="O113" s="16">
        <f>IF(AND(ISNUMBER(M113),H113&gt;0),(M113-G113)*H113,0)</f>
        <v/>
      </c>
      <c r="P113" s="17">
        <f>IF(AND(ISNUMBER(M113),G113&gt;0),(M113-G113)/G113,0)</f>
        <v/>
      </c>
      <c r="Q113" s="18">
        <f>IF(J113&gt;0,O113/J113,0)</f>
        <v/>
      </c>
      <c r="R113" s="15">
        <f>IF(O113="","-",IF(O113&gt;0,"WIN",IF(O113&lt;0,"LOSS","FLAT")))</f>
        <v/>
      </c>
    </row>
    <row r="114">
      <c r="A114" s="8" t="inlineStr"/>
      <c r="B114" s="8" t="inlineStr"/>
      <c r="C114" s="9" t="inlineStr"/>
      <c r="D114" s="10" t="inlineStr"/>
      <c r="E114" s="10" t="inlineStr"/>
      <c r="F114" s="11" t="inlineStr"/>
      <c r="G114" s="10" t="inlineStr"/>
      <c r="H114" s="12">
        <f>IF(G114&gt;0,F114/G114,0)</f>
        <v/>
      </c>
      <c r="I114" s="13">
        <f>IF(G114&gt;0,(G114-D114)/D114,0)</f>
        <v/>
      </c>
      <c r="J114" s="14">
        <f>IF(AND(G114&gt;0,E114&gt;0),H114*(G114-E114),0)</f>
        <v/>
      </c>
      <c r="M114" s="19" t="n"/>
      <c r="N114" s="15">
        <f>IF(AND(ISNUMBER(K114),ISNUMBER(A114)),NETWORKDAYS(A114,K114),0)</f>
        <v/>
      </c>
      <c r="O114" s="16">
        <f>IF(AND(ISNUMBER(M114),H114&gt;0),(M114-G114)*H114,0)</f>
        <v/>
      </c>
      <c r="P114" s="17">
        <f>IF(AND(ISNUMBER(M114),G114&gt;0),(M114-G114)/G114,0)</f>
        <v/>
      </c>
      <c r="Q114" s="18">
        <f>IF(J114&gt;0,O114/J114,0)</f>
        <v/>
      </c>
      <c r="R114" s="15">
        <f>IF(O114="","-",IF(O114&gt;0,"WIN",IF(O114&lt;0,"LOSS","FLAT")))</f>
        <v/>
      </c>
    </row>
    <row r="115">
      <c r="A115" s="8" t="inlineStr"/>
      <c r="B115" s="8" t="inlineStr"/>
      <c r="C115" s="9" t="inlineStr"/>
      <c r="D115" s="10" t="inlineStr"/>
      <c r="E115" s="10" t="inlineStr"/>
      <c r="F115" s="11" t="inlineStr"/>
      <c r="G115" s="10" t="inlineStr"/>
      <c r="H115" s="12">
        <f>IF(G115&gt;0,F115/G115,0)</f>
        <v/>
      </c>
      <c r="I115" s="13">
        <f>IF(G115&gt;0,(G115-D115)/D115,0)</f>
        <v/>
      </c>
      <c r="J115" s="14">
        <f>IF(AND(G115&gt;0,E115&gt;0),H115*(G115-E115),0)</f>
        <v/>
      </c>
      <c r="M115" s="19" t="n"/>
      <c r="N115" s="15">
        <f>IF(AND(ISNUMBER(K115),ISNUMBER(A115)),NETWORKDAYS(A115,K115),0)</f>
        <v/>
      </c>
      <c r="O115" s="16">
        <f>IF(AND(ISNUMBER(M115),H115&gt;0),(M115-G115)*H115,0)</f>
        <v/>
      </c>
      <c r="P115" s="17">
        <f>IF(AND(ISNUMBER(M115),G115&gt;0),(M115-G115)/G115,0)</f>
        <v/>
      </c>
      <c r="Q115" s="18">
        <f>IF(J115&gt;0,O115/J115,0)</f>
        <v/>
      </c>
      <c r="R115" s="15">
        <f>IF(O115="","-",IF(O115&gt;0,"WIN",IF(O115&lt;0,"LOSS","FLAT")))</f>
        <v/>
      </c>
    </row>
    <row r="116">
      <c r="A116" s="8" t="inlineStr"/>
      <c r="B116" s="8" t="inlineStr"/>
      <c r="C116" s="9" t="inlineStr"/>
      <c r="D116" s="10" t="inlineStr"/>
      <c r="E116" s="10" t="inlineStr"/>
      <c r="F116" s="11" t="inlineStr"/>
      <c r="G116" s="10" t="inlineStr"/>
      <c r="H116" s="12">
        <f>IF(G116&gt;0,F116/G116,0)</f>
        <v/>
      </c>
      <c r="I116" s="13">
        <f>IF(G116&gt;0,(G116-D116)/D116,0)</f>
        <v/>
      </c>
      <c r="J116" s="14">
        <f>IF(AND(G116&gt;0,E116&gt;0),H116*(G116-E116),0)</f>
        <v/>
      </c>
      <c r="M116" s="19" t="n"/>
      <c r="N116" s="15">
        <f>IF(AND(ISNUMBER(K116),ISNUMBER(A116)),NETWORKDAYS(A116,K116),0)</f>
        <v/>
      </c>
      <c r="O116" s="16">
        <f>IF(AND(ISNUMBER(M116),H116&gt;0),(M116-G116)*H116,0)</f>
        <v/>
      </c>
      <c r="P116" s="17">
        <f>IF(AND(ISNUMBER(M116),G116&gt;0),(M116-G116)/G116,0)</f>
        <v/>
      </c>
      <c r="Q116" s="18">
        <f>IF(J116&gt;0,O116/J116,0)</f>
        <v/>
      </c>
      <c r="R116" s="15">
        <f>IF(O116="","-",IF(O116&gt;0,"WIN",IF(O116&lt;0,"LOSS","FLAT")))</f>
        <v/>
      </c>
    </row>
    <row r="117">
      <c r="A117" s="8" t="inlineStr"/>
      <c r="B117" s="8" t="inlineStr"/>
      <c r="C117" s="9" t="inlineStr"/>
      <c r="D117" s="10" t="inlineStr"/>
      <c r="E117" s="10" t="inlineStr"/>
      <c r="F117" s="11" t="inlineStr"/>
      <c r="G117" s="10" t="inlineStr"/>
      <c r="H117" s="12">
        <f>IF(G117&gt;0,F117/G117,0)</f>
        <v/>
      </c>
      <c r="I117" s="13">
        <f>IF(G117&gt;0,(G117-D117)/D117,0)</f>
        <v/>
      </c>
      <c r="J117" s="14">
        <f>IF(AND(G117&gt;0,E117&gt;0),H117*(G117-E117),0)</f>
        <v/>
      </c>
      <c r="M117" s="19" t="n"/>
      <c r="N117" s="15">
        <f>IF(AND(ISNUMBER(K117),ISNUMBER(A117)),NETWORKDAYS(A117,K117),0)</f>
        <v/>
      </c>
      <c r="O117" s="16">
        <f>IF(AND(ISNUMBER(M117),H117&gt;0),(M117-G117)*H117,0)</f>
        <v/>
      </c>
      <c r="P117" s="17">
        <f>IF(AND(ISNUMBER(M117),G117&gt;0),(M117-G117)/G117,0)</f>
        <v/>
      </c>
      <c r="Q117" s="18">
        <f>IF(J117&gt;0,O117/J117,0)</f>
        <v/>
      </c>
      <c r="R117" s="15">
        <f>IF(O117="","-",IF(O117&gt;0,"WIN",IF(O117&lt;0,"LOSS","FLAT")))</f>
        <v/>
      </c>
    </row>
    <row r="118">
      <c r="A118" s="8" t="inlineStr"/>
      <c r="B118" s="8" t="inlineStr"/>
      <c r="C118" s="9" t="inlineStr"/>
      <c r="D118" s="10" t="inlineStr"/>
      <c r="E118" s="10" t="inlineStr"/>
      <c r="F118" s="11" t="inlineStr"/>
      <c r="G118" s="10" t="inlineStr"/>
      <c r="H118" s="12">
        <f>IF(G118&gt;0,F118/G118,0)</f>
        <v/>
      </c>
      <c r="I118" s="13">
        <f>IF(G118&gt;0,(G118-D118)/D118,0)</f>
        <v/>
      </c>
      <c r="J118" s="14">
        <f>IF(AND(G118&gt;0,E118&gt;0),H118*(G118-E118),0)</f>
        <v/>
      </c>
      <c r="M118" s="19" t="n"/>
      <c r="N118" s="15">
        <f>IF(AND(ISNUMBER(K118),ISNUMBER(A118)),NETWORKDAYS(A118,K118),0)</f>
        <v/>
      </c>
      <c r="O118" s="16">
        <f>IF(AND(ISNUMBER(M118),H118&gt;0),(M118-G118)*H118,0)</f>
        <v/>
      </c>
      <c r="P118" s="17">
        <f>IF(AND(ISNUMBER(M118),G118&gt;0),(M118-G118)/G118,0)</f>
        <v/>
      </c>
      <c r="Q118" s="18">
        <f>IF(J118&gt;0,O118/J118,0)</f>
        <v/>
      </c>
      <c r="R118" s="15">
        <f>IF(O118="","-",IF(O118&gt;0,"WIN",IF(O118&lt;0,"LOSS","FLAT")))</f>
        <v/>
      </c>
    </row>
    <row r="119">
      <c r="A119" s="8" t="inlineStr"/>
      <c r="B119" s="8" t="inlineStr"/>
      <c r="C119" s="9" t="inlineStr"/>
      <c r="D119" s="10" t="inlineStr"/>
      <c r="E119" s="10" t="inlineStr"/>
      <c r="F119" s="11" t="inlineStr"/>
      <c r="G119" s="10" t="inlineStr"/>
      <c r="H119" s="12">
        <f>IF(G119&gt;0,F119/G119,0)</f>
        <v/>
      </c>
      <c r="I119" s="13">
        <f>IF(G119&gt;0,(G119-D119)/D119,0)</f>
        <v/>
      </c>
      <c r="J119" s="14">
        <f>IF(AND(G119&gt;0,E119&gt;0),H119*(G119-E119),0)</f>
        <v/>
      </c>
      <c r="M119" s="19" t="n"/>
      <c r="N119" s="15">
        <f>IF(AND(ISNUMBER(K119),ISNUMBER(A119)),NETWORKDAYS(A119,K119),0)</f>
        <v/>
      </c>
      <c r="O119" s="16">
        <f>IF(AND(ISNUMBER(M119),H119&gt;0),(M119-G119)*H119,0)</f>
        <v/>
      </c>
      <c r="P119" s="17">
        <f>IF(AND(ISNUMBER(M119),G119&gt;0),(M119-G119)/G119,0)</f>
        <v/>
      </c>
      <c r="Q119" s="18">
        <f>IF(J119&gt;0,O119/J119,0)</f>
        <v/>
      </c>
      <c r="R119" s="15">
        <f>IF(O119="","-",IF(O119&gt;0,"WIN",IF(O119&lt;0,"LOSS","FLAT")))</f>
        <v/>
      </c>
    </row>
    <row r="120">
      <c r="A120" s="8" t="inlineStr"/>
      <c r="B120" s="8" t="inlineStr"/>
      <c r="C120" s="9" t="inlineStr"/>
      <c r="D120" s="10" t="inlineStr"/>
      <c r="E120" s="10" t="inlineStr"/>
      <c r="F120" s="11" t="inlineStr"/>
      <c r="G120" s="10" t="inlineStr"/>
      <c r="H120" s="12">
        <f>IF(G120&gt;0,F120/G120,0)</f>
        <v/>
      </c>
      <c r="I120" s="13">
        <f>IF(G120&gt;0,(G120-D120)/D120,0)</f>
        <v/>
      </c>
      <c r="J120" s="14">
        <f>IF(AND(G120&gt;0,E120&gt;0),H120*(G120-E120),0)</f>
        <v/>
      </c>
      <c r="M120" s="19" t="n"/>
      <c r="N120" s="15">
        <f>IF(AND(ISNUMBER(K120),ISNUMBER(A120)),NETWORKDAYS(A120,K120),0)</f>
        <v/>
      </c>
      <c r="O120" s="16">
        <f>IF(AND(ISNUMBER(M120),H120&gt;0),(M120-G120)*H120,0)</f>
        <v/>
      </c>
      <c r="P120" s="17">
        <f>IF(AND(ISNUMBER(M120),G120&gt;0),(M120-G120)/G120,0)</f>
        <v/>
      </c>
      <c r="Q120" s="18">
        <f>IF(J120&gt;0,O120/J120,0)</f>
        <v/>
      </c>
      <c r="R120" s="15">
        <f>IF(O120="","-",IF(O120&gt;0,"WIN",IF(O120&lt;0,"LOSS","FLAT")))</f>
        <v/>
      </c>
    </row>
    <row r="121">
      <c r="A121" s="8" t="inlineStr"/>
      <c r="B121" s="8" t="inlineStr"/>
      <c r="C121" s="9" t="inlineStr"/>
      <c r="D121" s="10" t="inlineStr"/>
      <c r="E121" s="10" t="inlineStr"/>
      <c r="F121" s="11" t="inlineStr"/>
      <c r="G121" s="10" t="inlineStr"/>
      <c r="H121" s="12">
        <f>IF(G121&gt;0,F121/G121,0)</f>
        <v/>
      </c>
      <c r="I121" s="13">
        <f>IF(G121&gt;0,(G121-D121)/D121,0)</f>
        <v/>
      </c>
      <c r="J121" s="14">
        <f>IF(AND(G121&gt;0,E121&gt;0),H121*(G121-E121),0)</f>
        <v/>
      </c>
      <c r="M121" s="19" t="n"/>
      <c r="N121" s="15">
        <f>IF(AND(ISNUMBER(K121),ISNUMBER(A121)),NETWORKDAYS(A121,K121),0)</f>
        <v/>
      </c>
      <c r="O121" s="16">
        <f>IF(AND(ISNUMBER(M121),H121&gt;0),(M121-G121)*H121,0)</f>
        <v/>
      </c>
      <c r="P121" s="17">
        <f>IF(AND(ISNUMBER(M121),G121&gt;0),(M121-G121)/G121,0)</f>
        <v/>
      </c>
      <c r="Q121" s="18">
        <f>IF(J121&gt;0,O121/J121,0)</f>
        <v/>
      </c>
      <c r="R121" s="15">
        <f>IF(O121="","-",IF(O121&gt;0,"WIN",IF(O121&lt;0,"LOSS","FLAT")))</f>
        <v/>
      </c>
    </row>
    <row r="122">
      <c r="A122" s="8" t="inlineStr"/>
      <c r="B122" s="8" t="inlineStr"/>
      <c r="C122" s="9" t="inlineStr"/>
      <c r="D122" s="10" t="inlineStr"/>
      <c r="E122" s="10" t="inlineStr"/>
      <c r="F122" s="11" t="inlineStr"/>
      <c r="G122" s="10" t="inlineStr"/>
      <c r="H122" s="12">
        <f>IF(G122&gt;0,F122/G122,0)</f>
        <v/>
      </c>
      <c r="I122" s="13">
        <f>IF(G122&gt;0,(G122-D122)/D122,0)</f>
        <v/>
      </c>
      <c r="J122" s="14">
        <f>IF(AND(G122&gt;0,E122&gt;0),H122*(G122-E122),0)</f>
        <v/>
      </c>
      <c r="M122" s="19" t="n"/>
      <c r="N122" s="15">
        <f>IF(AND(ISNUMBER(K122),ISNUMBER(A122)),NETWORKDAYS(A122,K122),0)</f>
        <v/>
      </c>
      <c r="O122" s="16">
        <f>IF(AND(ISNUMBER(M122),H122&gt;0),(M122-G122)*H122,0)</f>
        <v/>
      </c>
      <c r="P122" s="17">
        <f>IF(AND(ISNUMBER(M122),G122&gt;0),(M122-G122)/G122,0)</f>
        <v/>
      </c>
      <c r="Q122" s="18">
        <f>IF(J122&gt;0,O122/J122,0)</f>
        <v/>
      </c>
      <c r="R122" s="15">
        <f>IF(O122="","-",IF(O122&gt;0,"WIN",IF(O122&lt;0,"LOSS","FLAT")))</f>
        <v/>
      </c>
    </row>
    <row r="123">
      <c r="A123" s="8" t="inlineStr"/>
      <c r="B123" s="8" t="inlineStr"/>
      <c r="C123" s="9" t="inlineStr"/>
      <c r="D123" s="10" t="inlineStr"/>
      <c r="E123" s="10" t="inlineStr"/>
      <c r="F123" s="11" t="inlineStr"/>
      <c r="G123" s="10" t="inlineStr"/>
      <c r="H123" s="12">
        <f>IF(G123&gt;0,F123/G123,0)</f>
        <v/>
      </c>
      <c r="I123" s="13">
        <f>IF(G123&gt;0,(G123-D123)/D123,0)</f>
        <v/>
      </c>
      <c r="J123" s="14">
        <f>IF(AND(G123&gt;0,E123&gt;0),H123*(G123-E123),0)</f>
        <v/>
      </c>
      <c r="M123" s="19" t="n"/>
      <c r="N123" s="15">
        <f>IF(AND(ISNUMBER(K123),ISNUMBER(A123)),NETWORKDAYS(A123,K123),0)</f>
        <v/>
      </c>
      <c r="O123" s="16">
        <f>IF(AND(ISNUMBER(M123),H123&gt;0),(M123-G123)*H123,0)</f>
        <v/>
      </c>
      <c r="P123" s="17">
        <f>IF(AND(ISNUMBER(M123),G123&gt;0),(M123-G123)/G123,0)</f>
        <v/>
      </c>
      <c r="Q123" s="18">
        <f>IF(J123&gt;0,O123/J123,0)</f>
        <v/>
      </c>
      <c r="R123" s="15">
        <f>IF(O123="","-",IF(O123&gt;0,"WIN",IF(O123&lt;0,"LOSS","FLAT")))</f>
        <v/>
      </c>
    </row>
    <row r="124">
      <c r="A124" s="8" t="inlineStr"/>
      <c r="B124" s="8" t="inlineStr"/>
      <c r="C124" s="9" t="inlineStr"/>
      <c r="D124" s="10" t="inlineStr"/>
      <c r="E124" s="10" t="inlineStr"/>
      <c r="F124" s="11" t="inlineStr"/>
      <c r="G124" s="10" t="inlineStr"/>
      <c r="H124" s="12">
        <f>IF(G124&gt;0,F124/G124,0)</f>
        <v/>
      </c>
      <c r="I124" s="13">
        <f>IF(G124&gt;0,(G124-D124)/D124,0)</f>
        <v/>
      </c>
      <c r="J124" s="14">
        <f>IF(AND(G124&gt;0,E124&gt;0),H124*(G124-E124),0)</f>
        <v/>
      </c>
      <c r="M124" s="19" t="n"/>
      <c r="N124" s="15">
        <f>IF(AND(ISNUMBER(K124),ISNUMBER(A124)),NETWORKDAYS(A124,K124),0)</f>
        <v/>
      </c>
      <c r="O124" s="16">
        <f>IF(AND(ISNUMBER(M124),H124&gt;0),(M124-G124)*H124,0)</f>
        <v/>
      </c>
      <c r="P124" s="17">
        <f>IF(AND(ISNUMBER(M124),G124&gt;0),(M124-G124)/G124,0)</f>
        <v/>
      </c>
      <c r="Q124" s="18">
        <f>IF(J124&gt;0,O124/J124,0)</f>
        <v/>
      </c>
      <c r="R124" s="15">
        <f>IF(O124="","-",IF(O124&gt;0,"WIN",IF(O124&lt;0,"LOSS","FLAT")))</f>
        <v/>
      </c>
    </row>
    <row r="125">
      <c r="A125" s="8" t="inlineStr"/>
      <c r="B125" s="8" t="inlineStr"/>
      <c r="C125" s="9" t="inlineStr"/>
      <c r="D125" s="10" t="inlineStr"/>
      <c r="E125" s="10" t="inlineStr"/>
      <c r="F125" s="11" t="inlineStr"/>
      <c r="G125" s="10" t="inlineStr"/>
      <c r="H125" s="12">
        <f>IF(G125&gt;0,F125/G125,0)</f>
        <v/>
      </c>
      <c r="I125" s="13">
        <f>IF(G125&gt;0,(G125-D125)/D125,0)</f>
        <v/>
      </c>
      <c r="J125" s="14">
        <f>IF(AND(G125&gt;0,E125&gt;0),H125*(G125-E125),0)</f>
        <v/>
      </c>
      <c r="M125" s="19" t="n"/>
      <c r="N125" s="15">
        <f>IF(AND(ISNUMBER(K125),ISNUMBER(A125)),NETWORKDAYS(A125,K125),0)</f>
        <v/>
      </c>
      <c r="O125" s="16">
        <f>IF(AND(ISNUMBER(M125),H125&gt;0),(M125-G125)*H125,0)</f>
        <v/>
      </c>
      <c r="P125" s="17">
        <f>IF(AND(ISNUMBER(M125),G125&gt;0),(M125-G125)/G125,0)</f>
        <v/>
      </c>
      <c r="Q125" s="18">
        <f>IF(J125&gt;0,O125/J125,0)</f>
        <v/>
      </c>
      <c r="R125" s="15">
        <f>IF(O125="","-",IF(O125&gt;0,"WIN",IF(O125&lt;0,"LOSS","FLAT")))</f>
        <v/>
      </c>
    </row>
    <row r="126">
      <c r="A126" s="8" t="inlineStr"/>
      <c r="B126" s="8" t="inlineStr"/>
      <c r="C126" s="9" t="inlineStr"/>
      <c r="D126" s="10" t="inlineStr"/>
      <c r="E126" s="10" t="inlineStr"/>
      <c r="F126" s="11" t="inlineStr"/>
      <c r="G126" s="10" t="inlineStr"/>
      <c r="H126" s="12">
        <f>IF(G126&gt;0,F126/G126,0)</f>
        <v/>
      </c>
      <c r="I126" s="13">
        <f>IF(G126&gt;0,(G126-D126)/D126,0)</f>
        <v/>
      </c>
      <c r="J126" s="14">
        <f>IF(AND(G126&gt;0,E126&gt;0),H126*(G126-E126),0)</f>
        <v/>
      </c>
      <c r="M126" s="19" t="n"/>
      <c r="N126" s="15">
        <f>IF(AND(ISNUMBER(K126),ISNUMBER(A126)),NETWORKDAYS(A126,K126),0)</f>
        <v/>
      </c>
      <c r="O126" s="16">
        <f>IF(AND(ISNUMBER(M126),H126&gt;0),(M126-G126)*H126,0)</f>
        <v/>
      </c>
      <c r="P126" s="17">
        <f>IF(AND(ISNUMBER(M126),G126&gt;0),(M126-G126)/G126,0)</f>
        <v/>
      </c>
      <c r="Q126" s="18">
        <f>IF(J126&gt;0,O126/J126,0)</f>
        <v/>
      </c>
      <c r="R126" s="15">
        <f>IF(O126="","-",IF(O126&gt;0,"WIN",IF(O126&lt;0,"LOSS","FLAT")))</f>
        <v/>
      </c>
    </row>
    <row r="127">
      <c r="A127" s="8" t="inlineStr"/>
      <c r="B127" s="8" t="inlineStr"/>
      <c r="C127" s="9" t="inlineStr"/>
      <c r="D127" s="10" t="inlineStr"/>
      <c r="E127" s="10" t="inlineStr"/>
      <c r="F127" s="11" t="inlineStr"/>
      <c r="G127" s="10" t="inlineStr"/>
      <c r="H127" s="12">
        <f>IF(G127&gt;0,F127/G127,0)</f>
        <v/>
      </c>
      <c r="I127" s="13">
        <f>IF(G127&gt;0,(G127-D127)/D127,0)</f>
        <v/>
      </c>
      <c r="J127" s="14">
        <f>IF(AND(G127&gt;0,E127&gt;0),H127*(G127-E127),0)</f>
        <v/>
      </c>
      <c r="M127" s="19" t="n"/>
      <c r="N127" s="15">
        <f>IF(AND(ISNUMBER(K127),ISNUMBER(A127)),NETWORKDAYS(A127,K127),0)</f>
        <v/>
      </c>
      <c r="O127" s="16">
        <f>IF(AND(ISNUMBER(M127),H127&gt;0),(M127-G127)*H127,0)</f>
        <v/>
      </c>
      <c r="P127" s="17">
        <f>IF(AND(ISNUMBER(M127),G127&gt;0),(M127-G127)/G127,0)</f>
        <v/>
      </c>
      <c r="Q127" s="18">
        <f>IF(J127&gt;0,O127/J127,0)</f>
        <v/>
      </c>
      <c r="R127" s="15">
        <f>IF(O127="","-",IF(O127&gt;0,"WIN",IF(O127&lt;0,"LOSS","FLAT")))</f>
        <v/>
      </c>
    </row>
    <row r="128">
      <c r="A128" s="8" t="inlineStr"/>
      <c r="B128" s="8" t="inlineStr"/>
      <c r="C128" s="9" t="inlineStr"/>
      <c r="D128" s="10" t="inlineStr"/>
      <c r="E128" s="10" t="inlineStr"/>
      <c r="F128" s="11" t="inlineStr"/>
      <c r="G128" s="10" t="inlineStr"/>
      <c r="H128" s="12">
        <f>IF(G128&gt;0,F128/G128,0)</f>
        <v/>
      </c>
      <c r="I128" s="13">
        <f>IF(G128&gt;0,(G128-D128)/D128,0)</f>
        <v/>
      </c>
      <c r="J128" s="14">
        <f>IF(AND(G128&gt;0,E128&gt;0),H128*(G128-E128),0)</f>
        <v/>
      </c>
      <c r="M128" s="19" t="n"/>
      <c r="N128" s="15">
        <f>IF(AND(ISNUMBER(K128),ISNUMBER(A128)),NETWORKDAYS(A128,K128),0)</f>
        <v/>
      </c>
      <c r="O128" s="16">
        <f>IF(AND(ISNUMBER(M128),H128&gt;0),(M128-G128)*H128,0)</f>
        <v/>
      </c>
      <c r="P128" s="17">
        <f>IF(AND(ISNUMBER(M128),G128&gt;0),(M128-G128)/G128,0)</f>
        <v/>
      </c>
      <c r="Q128" s="18">
        <f>IF(J128&gt;0,O128/J128,0)</f>
        <v/>
      </c>
      <c r="R128" s="15">
        <f>IF(O128="","-",IF(O128&gt;0,"WIN",IF(O128&lt;0,"LOSS","FLAT")))</f>
        <v/>
      </c>
    </row>
    <row r="129">
      <c r="A129" s="8" t="inlineStr"/>
      <c r="B129" s="8" t="inlineStr"/>
      <c r="C129" s="9" t="inlineStr"/>
      <c r="D129" s="10" t="inlineStr"/>
      <c r="E129" s="10" t="inlineStr"/>
      <c r="F129" s="11" t="inlineStr"/>
      <c r="G129" s="10" t="inlineStr"/>
      <c r="H129" s="12">
        <f>IF(G129&gt;0,F129/G129,0)</f>
        <v/>
      </c>
      <c r="I129" s="13">
        <f>IF(G129&gt;0,(G129-D129)/D129,0)</f>
        <v/>
      </c>
      <c r="J129" s="14">
        <f>IF(AND(G129&gt;0,E129&gt;0),H129*(G129-E129),0)</f>
        <v/>
      </c>
      <c r="M129" s="19" t="n"/>
      <c r="N129" s="15">
        <f>IF(AND(ISNUMBER(K129),ISNUMBER(A129)),NETWORKDAYS(A129,K129),0)</f>
        <v/>
      </c>
      <c r="O129" s="16">
        <f>IF(AND(ISNUMBER(M129),H129&gt;0),(M129-G129)*H129,0)</f>
        <v/>
      </c>
      <c r="P129" s="17">
        <f>IF(AND(ISNUMBER(M129),G129&gt;0),(M129-G129)/G129,0)</f>
        <v/>
      </c>
      <c r="Q129" s="18">
        <f>IF(J129&gt;0,O129/J129,0)</f>
        <v/>
      </c>
      <c r="R129" s="15">
        <f>IF(O129="","-",IF(O129&gt;0,"WIN",IF(O129&lt;0,"LOSS","FLAT")))</f>
        <v/>
      </c>
    </row>
    <row r="130">
      <c r="A130" s="8" t="inlineStr"/>
      <c r="B130" s="8" t="inlineStr"/>
      <c r="C130" s="9" t="inlineStr"/>
      <c r="D130" s="10" t="inlineStr"/>
      <c r="E130" s="10" t="inlineStr"/>
      <c r="F130" s="11" t="inlineStr"/>
      <c r="G130" s="10" t="inlineStr"/>
      <c r="H130" s="12">
        <f>IF(G130&gt;0,F130/G130,0)</f>
        <v/>
      </c>
      <c r="I130" s="13">
        <f>IF(G130&gt;0,(G130-D130)/D130,0)</f>
        <v/>
      </c>
      <c r="J130" s="14">
        <f>IF(AND(G130&gt;0,E130&gt;0),H130*(G130-E130),0)</f>
        <v/>
      </c>
      <c r="M130" s="19" t="n"/>
      <c r="N130" s="15">
        <f>IF(AND(ISNUMBER(K130),ISNUMBER(A130)),NETWORKDAYS(A130,K130),0)</f>
        <v/>
      </c>
      <c r="O130" s="16">
        <f>IF(AND(ISNUMBER(M130),H130&gt;0),(M130-G130)*H130,0)</f>
        <v/>
      </c>
      <c r="P130" s="17">
        <f>IF(AND(ISNUMBER(M130),G130&gt;0),(M130-G130)/G130,0)</f>
        <v/>
      </c>
      <c r="Q130" s="18">
        <f>IF(J130&gt;0,O130/J130,0)</f>
        <v/>
      </c>
      <c r="R130" s="15">
        <f>IF(O130="","-",IF(O130&gt;0,"WIN",IF(O130&lt;0,"LOSS","FLAT")))</f>
        <v/>
      </c>
    </row>
    <row r="131">
      <c r="A131" s="8" t="inlineStr"/>
      <c r="B131" s="8" t="inlineStr"/>
      <c r="C131" s="9" t="inlineStr"/>
      <c r="D131" s="10" t="inlineStr"/>
      <c r="E131" s="10" t="inlineStr"/>
      <c r="F131" s="11" t="inlineStr"/>
      <c r="G131" s="10" t="inlineStr"/>
      <c r="H131" s="12">
        <f>IF(G131&gt;0,F131/G131,0)</f>
        <v/>
      </c>
      <c r="I131" s="13">
        <f>IF(G131&gt;0,(G131-D131)/D131,0)</f>
        <v/>
      </c>
      <c r="J131" s="14">
        <f>IF(AND(G131&gt;0,E131&gt;0),H131*(G131-E131),0)</f>
        <v/>
      </c>
      <c r="M131" s="19" t="n"/>
      <c r="N131" s="15">
        <f>IF(AND(ISNUMBER(K131),ISNUMBER(A131)),NETWORKDAYS(A131,K131),0)</f>
        <v/>
      </c>
      <c r="O131" s="16">
        <f>IF(AND(ISNUMBER(M131),H131&gt;0),(M131-G131)*H131,0)</f>
        <v/>
      </c>
      <c r="P131" s="17">
        <f>IF(AND(ISNUMBER(M131),G131&gt;0),(M131-G131)/G131,0)</f>
        <v/>
      </c>
      <c r="Q131" s="18">
        <f>IF(J131&gt;0,O131/J131,0)</f>
        <v/>
      </c>
      <c r="R131" s="15">
        <f>IF(O131="","-",IF(O131&gt;0,"WIN",IF(O131&lt;0,"LOSS","FLAT")))</f>
        <v/>
      </c>
    </row>
    <row r="132">
      <c r="A132" s="8" t="inlineStr"/>
      <c r="B132" s="8" t="inlineStr"/>
      <c r="C132" s="9" t="inlineStr"/>
      <c r="D132" s="10" t="inlineStr"/>
      <c r="E132" s="10" t="inlineStr"/>
      <c r="F132" s="11" t="inlineStr"/>
      <c r="G132" s="10" t="inlineStr"/>
      <c r="H132" s="12">
        <f>IF(G132&gt;0,F132/G132,0)</f>
        <v/>
      </c>
      <c r="I132" s="13">
        <f>IF(G132&gt;0,(G132-D132)/D132,0)</f>
        <v/>
      </c>
      <c r="J132" s="14">
        <f>IF(AND(G132&gt;0,E132&gt;0),H132*(G132-E132),0)</f>
        <v/>
      </c>
      <c r="M132" s="19" t="n"/>
      <c r="N132" s="15">
        <f>IF(AND(ISNUMBER(K132),ISNUMBER(A132)),NETWORKDAYS(A132,K132),0)</f>
        <v/>
      </c>
      <c r="O132" s="16">
        <f>IF(AND(ISNUMBER(M132),H132&gt;0),(M132-G132)*H132,0)</f>
        <v/>
      </c>
      <c r="P132" s="17">
        <f>IF(AND(ISNUMBER(M132),G132&gt;0),(M132-G132)/G132,0)</f>
        <v/>
      </c>
      <c r="Q132" s="18">
        <f>IF(J132&gt;0,O132/J132,0)</f>
        <v/>
      </c>
      <c r="R132" s="15">
        <f>IF(O132="","-",IF(O132&gt;0,"WIN",IF(O132&lt;0,"LOSS","FLAT")))</f>
        <v/>
      </c>
    </row>
    <row r="133">
      <c r="A133" s="8" t="inlineStr"/>
      <c r="B133" s="8" t="inlineStr"/>
      <c r="C133" s="9" t="inlineStr"/>
      <c r="D133" s="10" t="inlineStr"/>
      <c r="E133" s="10" t="inlineStr"/>
      <c r="F133" s="11" t="inlineStr"/>
      <c r="G133" s="10" t="inlineStr"/>
      <c r="H133" s="12">
        <f>IF(G133&gt;0,F133/G133,0)</f>
        <v/>
      </c>
      <c r="I133" s="13">
        <f>IF(G133&gt;0,(G133-D133)/D133,0)</f>
        <v/>
      </c>
      <c r="J133" s="14">
        <f>IF(AND(G133&gt;0,E133&gt;0),H133*(G133-E133),0)</f>
        <v/>
      </c>
      <c r="M133" s="19" t="n"/>
      <c r="N133" s="15">
        <f>IF(AND(ISNUMBER(K133),ISNUMBER(A133)),NETWORKDAYS(A133,K133),0)</f>
        <v/>
      </c>
      <c r="O133" s="16">
        <f>IF(AND(ISNUMBER(M133),H133&gt;0),(M133-G133)*H133,0)</f>
        <v/>
      </c>
      <c r="P133" s="17">
        <f>IF(AND(ISNUMBER(M133),G133&gt;0),(M133-G133)/G133,0)</f>
        <v/>
      </c>
      <c r="Q133" s="18">
        <f>IF(J133&gt;0,O133/J133,0)</f>
        <v/>
      </c>
      <c r="R133" s="15">
        <f>IF(O133="","-",IF(O133&gt;0,"WIN",IF(O133&lt;0,"LOSS","FLAT")))</f>
        <v/>
      </c>
    </row>
    <row r="134">
      <c r="A134" s="8" t="inlineStr"/>
      <c r="B134" s="8" t="inlineStr"/>
      <c r="C134" s="9" t="inlineStr"/>
      <c r="D134" s="10" t="inlineStr"/>
      <c r="E134" s="10" t="inlineStr"/>
      <c r="F134" s="11" t="inlineStr"/>
      <c r="G134" s="10" t="inlineStr"/>
      <c r="H134" s="12">
        <f>IF(G134&gt;0,F134/G134,0)</f>
        <v/>
      </c>
      <c r="I134" s="13">
        <f>IF(G134&gt;0,(G134-D134)/D134,0)</f>
        <v/>
      </c>
      <c r="J134" s="14">
        <f>IF(AND(G134&gt;0,E134&gt;0),H134*(G134-E134),0)</f>
        <v/>
      </c>
      <c r="M134" s="19" t="n"/>
      <c r="N134" s="15">
        <f>IF(AND(ISNUMBER(K134),ISNUMBER(A134)),NETWORKDAYS(A134,K134),0)</f>
        <v/>
      </c>
      <c r="O134" s="16">
        <f>IF(AND(ISNUMBER(M134),H134&gt;0),(M134-G134)*H134,0)</f>
        <v/>
      </c>
      <c r="P134" s="17">
        <f>IF(AND(ISNUMBER(M134),G134&gt;0),(M134-G134)/G134,0)</f>
        <v/>
      </c>
      <c r="Q134" s="18">
        <f>IF(J134&gt;0,O134/J134,0)</f>
        <v/>
      </c>
      <c r="R134" s="15">
        <f>IF(O134="","-",IF(O134&gt;0,"WIN",IF(O134&lt;0,"LOSS","FLAT")))</f>
        <v/>
      </c>
    </row>
    <row r="135">
      <c r="A135" s="8" t="inlineStr"/>
      <c r="B135" s="8" t="inlineStr"/>
      <c r="C135" s="9" t="inlineStr"/>
      <c r="D135" s="10" t="inlineStr"/>
      <c r="E135" s="10" t="inlineStr"/>
      <c r="F135" s="11" t="inlineStr"/>
      <c r="G135" s="10" t="inlineStr"/>
      <c r="H135" s="12">
        <f>IF(G135&gt;0,F135/G135,0)</f>
        <v/>
      </c>
      <c r="I135" s="13">
        <f>IF(G135&gt;0,(G135-D135)/D135,0)</f>
        <v/>
      </c>
      <c r="J135" s="14">
        <f>IF(AND(G135&gt;0,E135&gt;0),H135*(G135-E135),0)</f>
        <v/>
      </c>
      <c r="M135" s="19" t="n"/>
      <c r="N135" s="15">
        <f>IF(AND(ISNUMBER(K135),ISNUMBER(A135)),NETWORKDAYS(A135,K135),0)</f>
        <v/>
      </c>
      <c r="O135" s="16">
        <f>IF(AND(ISNUMBER(M135),H135&gt;0),(M135-G135)*H135,0)</f>
        <v/>
      </c>
      <c r="P135" s="17">
        <f>IF(AND(ISNUMBER(M135),G135&gt;0),(M135-G135)/G135,0)</f>
        <v/>
      </c>
      <c r="Q135" s="18">
        <f>IF(J135&gt;0,O135/J135,0)</f>
        <v/>
      </c>
      <c r="R135" s="15">
        <f>IF(O135="","-",IF(O135&gt;0,"WIN",IF(O135&lt;0,"LOSS","FLAT")))</f>
        <v/>
      </c>
    </row>
    <row r="136">
      <c r="A136" s="8" t="inlineStr"/>
      <c r="B136" s="8" t="inlineStr"/>
      <c r="C136" s="9" t="inlineStr"/>
      <c r="D136" s="10" t="inlineStr"/>
      <c r="E136" s="10" t="inlineStr"/>
      <c r="F136" s="11" t="inlineStr"/>
      <c r="G136" s="10" t="inlineStr"/>
      <c r="H136" s="12">
        <f>IF(G136&gt;0,F136/G136,0)</f>
        <v/>
      </c>
      <c r="I136" s="13">
        <f>IF(G136&gt;0,(G136-D136)/D136,0)</f>
        <v/>
      </c>
      <c r="J136" s="14">
        <f>IF(AND(G136&gt;0,E136&gt;0),H136*(G136-E136),0)</f>
        <v/>
      </c>
      <c r="M136" s="19" t="n"/>
      <c r="N136" s="15">
        <f>IF(AND(ISNUMBER(K136),ISNUMBER(A136)),NETWORKDAYS(A136,K136),0)</f>
        <v/>
      </c>
      <c r="O136" s="16">
        <f>IF(AND(ISNUMBER(M136),H136&gt;0),(M136-G136)*H136,0)</f>
        <v/>
      </c>
      <c r="P136" s="17">
        <f>IF(AND(ISNUMBER(M136),G136&gt;0),(M136-G136)/G136,0)</f>
        <v/>
      </c>
      <c r="Q136" s="18">
        <f>IF(J136&gt;0,O136/J136,0)</f>
        <v/>
      </c>
      <c r="R136" s="15">
        <f>IF(O136="","-",IF(O136&gt;0,"WIN",IF(O136&lt;0,"LOSS","FLAT")))</f>
        <v/>
      </c>
    </row>
    <row r="137">
      <c r="A137" s="8" t="inlineStr"/>
      <c r="B137" s="8" t="inlineStr"/>
      <c r="C137" s="9" t="inlineStr"/>
      <c r="D137" s="10" t="inlineStr"/>
      <c r="E137" s="10" t="inlineStr"/>
      <c r="F137" s="11" t="inlineStr"/>
      <c r="G137" s="10" t="inlineStr"/>
      <c r="H137" s="12">
        <f>IF(G137&gt;0,F137/G137,0)</f>
        <v/>
      </c>
      <c r="I137" s="13">
        <f>IF(G137&gt;0,(G137-D137)/D137,0)</f>
        <v/>
      </c>
      <c r="J137" s="14">
        <f>IF(AND(G137&gt;0,E137&gt;0),H137*(G137-E137),0)</f>
        <v/>
      </c>
      <c r="M137" s="19" t="n"/>
      <c r="N137" s="15">
        <f>IF(AND(ISNUMBER(K137),ISNUMBER(A137)),NETWORKDAYS(A137,K137),0)</f>
        <v/>
      </c>
      <c r="O137" s="16">
        <f>IF(AND(ISNUMBER(M137),H137&gt;0),(M137-G137)*H137,0)</f>
        <v/>
      </c>
      <c r="P137" s="17">
        <f>IF(AND(ISNUMBER(M137),G137&gt;0),(M137-G137)/G137,0)</f>
        <v/>
      </c>
      <c r="Q137" s="18">
        <f>IF(J137&gt;0,O137/J137,0)</f>
        <v/>
      </c>
      <c r="R137" s="15">
        <f>IF(O137="","-",IF(O137&gt;0,"WIN",IF(O137&lt;0,"LOSS","FLAT")))</f>
        <v/>
      </c>
    </row>
    <row r="138">
      <c r="A138" s="8" t="inlineStr"/>
      <c r="B138" s="8" t="inlineStr"/>
      <c r="C138" s="9" t="inlineStr"/>
      <c r="D138" s="10" t="inlineStr"/>
      <c r="E138" s="10" t="inlineStr"/>
      <c r="F138" s="11" t="inlineStr"/>
      <c r="G138" s="10" t="inlineStr"/>
      <c r="H138" s="12">
        <f>IF(G138&gt;0,F138/G138,0)</f>
        <v/>
      </c>
      <c r="I138" s="13">
        <f>IF(G138&gt;0,(G138-D138)/D138,0)</f>
        <v/>
      </c>
      <c r="J138" s="14">
        <f>IF(AND(G138&gt;0,E138&gt;0),H138*(G138-E138),0)</f>
        <v/>
      </c>
      <c r="M138" s="19" t="n"/>
      <c r="N138" s="15">
        <f>IF(AND(ISNUMBER(K138),ISNUMBER(A138)),NETWORKDAYS(A138,K138),0)</f>
        <v/>
      </c>
      <c r="O138" s="16">
        <f>IF(AND(ISNUMBER(M138),H138&gt;0),(M138-G138)*H138,0)</f>
        <v/>
      </c>
      <c r="P138" s="17">
        <f>IF(AND(ISNUMBER(M138),G138&gt;0),(M138-G138)/G138,0)</f>
        <v/>
      </c>
      <c r="Q138" s="18">
        <f>IF(J138&gt;0,O138/J138,0)</f>
        <v/>
      </c>
      <c r="R138" s="15">
        <f>IF(O138="","-",IF(O138&gt;0,"WIN",IF(O138&lt;0,"LOSS","FLAT")))</f>
        <v/>
      </c>
    </row>
    <row r="139">
      <c r="A139" s="8" t="inlineStr"/>
      <c r="B139" s="8" t="inlineStr"/>
      <c r="C139" s="9" t="inlineStr"/>
      <c r="D139" s="10" t="inlineStr"/>
      <c r="E139" s="10" t="inlineStr"/>
      <c r="F139" s="11" t="inlineStr"/>
      <c r="G139" s="10" t="inlineStr"/>
      <c r="H139" s="12">
        <f>IF(G139&gt;0,F139/G139,0)</f>
        <v/>
      </c>
      <c r="I139" s="13">
        <f>IF(G139&gt;0,(G139-D139)/D139,0)</f>
        <v/>
      </c>
      <c r="J139" s="14">
        <f>IF(AND(G139&gt;0,E139&gt;0),H139*(G139-E139),0)</f>
        <v/>
      </c>
      <c r="M139" s="19" t="n"/>
      <c r="N139" s="15">
        <f>IF(AND(ISNUMBER(K139),ISNUMBER(A139)),NETWORKDAYS(A139,K139),0)</f>
        <v/>
      </c>
      <c r="O139" s="16">
        <f>IF(AND(ISNUMBER(M139),H139&gt;0),(M139-G139)*H139,0)</f>
        <v/>
      </c>
      <c r="P139" s="17">
        <f>IF(AND(ISNUMBER(M139),G139&gt;0),(M139-G139)/G139,0)</f>
        <v/>
      </c>
      <c r="Q139" s="18">
        <f>IF(J139&gt;0,O139/J139,0)</f>
        <v/>
      </c>
      <c r="R139" s="15">
        <f>IF(O139="","-",IF(O139&gt;0,"WIN",IF(O139&lt;0,"LOSS","FLAT")))</f>
        <v/>
      </c>
    </row>
    <row r="140">
      <c r="A140" s="8" t="inlineStr"/>
      <c r="B140" s="8" t="inlineStr"/>
      <c r="C140" s="9" t="inlineStr"/>
      <c r="D140" s="10" t="inlineStr"/>
      <c r="E140" s="10" t="inlineStr"/>
      <c r="F140" s="11" t="inlineStr"/>
      <c r="G140" s="10" t="inlineStr"/>
      <c r="H140" s="12">
        <f>IF(G140&gt;0,F140/G140,0)</f>
        <v/>
      </c>
      <c r="I140" s="13">
        <f>IF(G140&gt;0,(G140-D140)/D140,0)</f>
        <v/>
      </c>
      <c r="J140" s="14">
        <f>IF(AND(G140&gt;0,E140&gt;0),H140*(G140-E140),0)</f>
        <v/>
      </c>
      <c r="M140" s="19" t="n"/>
      <c r="N140" s="15">
        <f>IF(AND(ISNUMBER(K140),ISNUMBER(A140)),NETWORKDAYS(A140,K140),0)</f>
        <v/>
      </c>
      <c r="O140" s="16">
        <f>IF(AND(ISNUMBER(M140),H140&gt;0),(M140-G140)*H140,0)</f>
        <v/>
      </c>
      <c r="P140" s="17">
        <f>IF(AND(ISNUMBER(M140),G140&gt;0),(M140-G140)/G140,0)</f>
        <v/>
      </c>
      <c r="Q140" s="18">
        <f>IF(J140&gt;0,O140/J140,0)</f>
        <v/>
      </c>
      <c r="R140" s="15">
        <f>IF(O140="","-",IF(O140&gt;0,"WIN",IF(O140&lt;0,"LOSS","FLAT")))</f>
        <v/>
      </c>
    </row>
    <row r="141">
      <c r="A141" s="8" t="inlineStr"/>
      <c r="B141" s="8" t="inlineStr"/>
      <c r="C141" s="9" t="inlineStr"/>
      <c r="D141" s="10" t="inlineStr"/>
      <c r="E141" s="10" t="inlineStr"/>
      <c r="F141" s="11" t="inlineStr"/>
      <c r="G141" s="10" t="inlineStr"/>
      <c r="H141" s="12">
        <f>IF(G141&gt;0,F141/G141,0)</f>
        <v/>
      </c>
      <c r="I141" s="13">
        <f>IF(G141&gt;0,(G141-D141)/D141,0)</f>
        <v/>
      </c>
      <c r="J141" s="14">
        <f>IF(AND(G141&gt;0,E141&gt;0),H141*(G141-E141),0)</f>
        <v/>
      </c>
      <c r="M141" s="19" t="n"/>
      <c r="N141" s="15">
        <f>IF(AND(ISNUMBER(K141),ISNUMBER(A141)),NETWORKDAYS(A141,K141),0)</f>
        <v/>
      </c>
      <c r="O141" s="16">
        <f>IF(AND(ISNUMBER(M141),H141&gt;0),(M141-G141)*H141,0)</f>
        <v/>
      </c>
      <c r="P141" s="17">
        <f>IF(AND(ISNUMBER(M141),G141&gt;0),(M141-G141)/G141,0)</f>
        <v/>
      </c>
      <c r="Q141" s="18">
        <f>IF(J141&gt;0,O141/J141,0)</f>
        <v/>
      </c>
      <c r="R141" s="15">
        <f>IF(O141="","-",IF(O141&gt;0,"WIN",IF(O141&lt;0,"LOSS","FLAT")))</f>
        <v/>
      </c>
    </row>
    <row r="142">
      <c r="A142" s="8" t="inlineStr"/>
      <c r="B142" s="8" t="inlineStr"/>
      <c r="C142" s="9" t="inlineStr"/>
      <c r="D142" s="10" t="inlineStr"/>
      <c r="E142" s="10" t="inlineStr"/>
      <c r="F142" s="11" t="inlineStr"/>
      <c r="G142" s="10" t="inlineStr"/>
      <c r="H142" s="12">
        <f>IF(G142&gt;0,F142/G142,0)</f>
        <v/>
      </c>
      <c r="I142" s="13">
        <f>IF(G142&gt;0,(G142-D142)/D142,0)</f>
        <v/>
      </c>
      <c r="J142" s="14">
        <f>IF(AND(G142&gt;0,E142&gt;0),H142*(G142-E142),0)</f>
        <v/>
      </c>
      <c r="M142" s="19" t="n"/>
      <c r="N142" s="15">
        <f>IF(AND(ISNUMBER(K142),ISNUMBER(A142)),NETWORKDAYS(A142,K142),0)</f>
        <v/>
      </c>
      <c r="O142" s="16">
        <f>IF(AND(ISNUMBER(M142),H142&gt;0),(M142-G142)*H142,0)</f>
        <v/>
      </c>
      <c r="P142" s="17">
        <f>IF(AND(ISNUMBER(M142),G142&gt;0),(M142-G142)/G142,0)</f>
        <v/>
      </c>
      <c r="Q142" s="18">
        <f>IF(J142&gt;0,O142/J142,0)</f>
        <v/>
      </c>
      <c r="R142" s="15">
        <f>IF(O142="","-",IF(O142&gt;0,"WIN",IF(O142&lt;0,"LOSS","FLAT")))</f>
        <v/>
      </c>
    </row>
    <row r="143">
      <c r="A143" s="8" t="inlineStr"/>
      <c r="B143" s="8" t="inlineStr"/>
      <c r="C143" s="9" t="inlineStr"/>
      <c r="D143" s="10" t="inlineStr"/>
      <c r="E143" s="10" t="inlineStr"/>
      <c r="F143" s="11" t="inlineStr"/>
      <c r="G143" s="10" t="inlineStr"/>
      <c r="H143" s="12">
        <f>IF(G143&gt;0,F143/G143,0)</f>
        <v/>
      </c>
      <c r="I143" s="13">
        <f>IF(G143&gt;0,(G143-D143)/D143,0)</f>
        <v/>
      </c>
      <c r="J143" s="14">
        <f>IF(AND(G143&gt;0,E143&gt;0),H143*(G143-E143),0)</f>
        <v/>
      </c>
      <c r="M143" s="19" t="n"/>
      <c r="N143" s="15">
        <f>IF(AND(ISNUMBER(K143),ISNUMBER(A143)),NETWORKDAYS(A143,K143),0)</f>
        <v/>
      </c>
      <c r="O143" s="16">
        <f>IF(AND(ISNUMBER(M143),H143&gt;0),(M143-G143)*H143,0)</f>
        <v/>
      </c>
      <c r="P143" s="17">
        <f>IF(AND(ISNUMBER(M143),G143&gt;0),(M143-G143)/G143,0)</f>
        <v/>
      </c>
      <c r="Q143" s="18">
        <f>IF(J143&gt;0,O143/J143,0)</f>
        <v/>
      </c>
      <c r="R143" s="15">
        <f>IF(O143="","-",IF(O143&gt;0,"WIN",IF(O143&lt;0,"LOSS","FLAT")))</f>
        <v/>
      </c>
    </row>
    <row r="144">
      <c r="A144" s="8" t="inlineStr"/>
      <c r="B144" s="8" t="inlineStr"/>
      <c r="C144" s="9" t="inlineStr"/>
      <c r="D144" s="10" t="inlineStr"/>
      <c r="E144" s="10" t="inlineStr"/>
      <c r="F144" s="11" t="inlineStr"/>
      <c r="G144" s="10" t="inlineStr"/>
      <c r="H144" s="12">
        <f>IF(G144&gt;0,F144/G144,0)</f>
        <v/>
      </c>
      <c r="I144" s="13">
        <f>IF(G144&gt;0,(G144-D144)/D144,0)</f>
        <v/>
      </c>
      <c r="J144" s="14">
        <f>IF(AND(G144&gt;0,E144&gt;0),H144*(G144-E144),0)</f>
        <v/>
      </c>
      <c r="M144" s="19" t="n"/>
      <c r="N144" s="15">
        <f>IF(AND(ISNUMBER(K144),ISNUMBER(A144)),NETWORKDAYS(A144,K144),0)</f>
        <v/>
      </c>
      <c r="O144" s="16">
        <f>IF(AND(ISNUMBER(M144),H144&gt;0),(M144-G144)*H144,0)</f>
        <v/>
      </c>
      <c r="P144" s="17">
        <f>IF(AND(ISNUMBER(M144),G144&gt;0),(M144-G144)/G144,0)</f>
        <v/>
      </c>
      <c r="Q144" s="18">
        <f>IF(J144&gt;0,O144/J144,0)</f>
        <v/>
      </c>
      <c r="R144" s="15">
        <f>IF(O144="","-",IF(O144&gt;0,"WIN",IF(O144&lt;0,"LOSS","FLAT")))</f>
        <v/>
      </c>
    </row>
    <row r="145">
      <c r="A145" s="8" t="inlineStr"/>
      <c r="B145" s="8" t="inlineStr"/>
      <c r="C145" s="9" t="inlineStr"/>
      <c r="D145" s="10" t="inlineStr"/>
      <c r="E145" s="10" t="inlineStr"/>
      <c r="F145" s="11" t="inlineStr"/>
      <c r="G145" s="10" t="inlineStr"/>
      <c r="H145" s="12">
        <f>IF(G145&gt;0,F145/G145,0)</f>
        <v/>
      </c>
      <c r="I145" s="13">
        <f>IF(G145&gt;0,(G145-D145)/D145,0)</f>
        <v/>
      </c>
      <c r="J145" s="14">
        <f>IF(AND(G145&gt;0,E145&gt;0),H145*(G145-E145),0)</f>
        <v/>
      </c>
      <c r="M145" s="19" t="n"/>
      <c r="N145" s="15">
        <f>IF(AND(ISNUMBER(K145),ISNUMBER(A145)),NETWORKDAYS(A145,K145),0)</f>
        <v/>
      </c>
      <c r="O145" s="16">
        <f>IF(AND(ISNUMBER(M145),H145&gt;0),(M145-G145)*H145,0)</f>
        <v/>
      </c>
      <c r="P145" s="17">
        <f>IF(AND(ISNUMBER(M145),G145&gt;0),(M145-G145)/G145,0)</f>
        <v/>
      </c>
      <c r="Q145" s="18">
        <f>IF(J145&gt;0,O145/J145,0)</f>
        <v/>
      </c>
      <c r="R145" s="15">
        <f>IF(O145="","-",IF(O145&gt;0,"WIN",IF(O145&lt;0,"LOSS","FLAT")))</f>
        <v/>
      </c>
    </row>
    <row r="146">
      <c r="A146" s="8" t="inlineStr"/>
      <c r="B146" s="8" t="inlineStr"/>
      <c r="C146" s="9" t="inlineStr"/>
      <c r="D146" s="10" t="inlineStr"/>
      <c r="E146" s="10" t="inlineStr"/>
      <c r="F146" s="11" t="inlineStr"/>
      <c r="G146" s="10" t="inlineStr"/>
      <c r="H146" s="12">
        <f>IF(G146&gt;0,F146/G146,0)</f>
        <v/>
      </c>
      <c r="I146" s="13">
        <f>IF(G146&gt;0,(G146-D146)/D146,0)</f>
        <v/>
      </c>
      <c r="J146" s="14">
        <f>IF(AND(G146&gt;0,E146&gt;0),H146*(G146-E146),0)</f>
        <v/>
      </c>
      <c r="M146" s="19" t="n"/>
      <c r="N146" s="15">
        <f>IF(AND(ISNUMBER(K146),ISNUMBER(A146)),NETWORKDAYS(A146,K146),0)</f>
        <v/>
      </c>
      <c r="O146" s="16">
        <f>IF(AND(ISNUMBER(M146),H146&gt;0),(M146-G146)*H146,0)</f>
        <v/>
      </c>
      <c r="P146" s="17">
        <f>IF(AND(ISNUMBER(M146),G146&gt;0),(M146-G146)/G146,0)</f>
        <v/>
      </c>
      <c r="Q146" s="18">
        <f>IF(J146&gt;0,O146/J146,0)</f>
        <v/>
      </c>
      <c r="R146" s="15">
        <f>IF(O146="","-",IF(O146&gt;0,"WIN",IF(O146&lt;0,"LOSS","FLAT")))</f>
        <v/>
      </c>
    </row>
    <row r="147">
      <c r="A147" s="8" t="inlineStr"/>
      <c r="B147" s="8" t="inlineStr"/>
      <c r="C147" s="9" t="inlineStr"/>
      <c r="D147" s="10" t="inlineStr"/>
      <c r="E147" s="10" t="inlineStr"/>
      <c r="F147" s="11" t="inlineStr"/>
      <c r="G147" s="10" t="inlineStr"/>
      <c r="H147" s="12">
        <f>IF(G147&gt;0,F147/G147,0)</f>
        <v/>
      </c>
      <c r="I147" s="13">
        <f>IF(G147&gt;0,(G147-D147)/D147,0)</f>
        <v/>
      </c>
      <c r="J147" s="14">
        <f>IF(AND(G147&gt;0,E147&gt;0),H147*(G147-E147),0)</f>
        <v/>
      </c>
      <c r="M147" s="19" t="n"/>
      <c r="N147" s="15">
        <f>IF(AND(ISNUMBER(K147),ISNUMBER(A147)),NETWORKDAYS(A147,K147),0)</f>
        <v/>
      </c>
      <c r="O147" s="16">
        <f>IF(AND(ISNUMBER(M147),H147&gt;0),(M147-G147)*H147,0)</f>
        <v/>
      </c>
      <c r="P147" s="17">
        <f>IF(AND(ISNUMBER(M147),G147&gt;0),(M147-G147)/G147,0)</f>
        <v/>
      </c>
      <c r="Q147" s="18">
        <f>IF(J147&gt;0,O147/J147,0)</f>
        <v/>
      </c>
      <c r="R147" s="15">
        <f>IF(O147="","-",IF(O147&gt;0,"WIN",IF(O147&lt;0,"LOSS","FLAT")))</f>
        <v/>
      </c>
    </row>
    <row r="148">
      <c r="A148" s="8" t="inlineStr"/>
      <c r="B148" s="8" t="inlineStr"/>
      <c r="C148" s="9" t="inlineStr"/>
      <c r="D148" s="10" t="inlineStr"/>
      <c r="E148" s="10" t="inlineStr"/>
      <c r="F148" s="11" t="inlineStr"/>
      <c r="G148" s="10" t="inlineStr"/>
      <c r="H148" s="12">
        <f>IF(G148&gt;0,F148/G148,0)</f>
        <v/>
      </c>
      <c r="I148" s="13">
        <f>IF(G148&gt;0,(G148-D148)/D148,0)</f>
        <v/>
      </c>
      <c r="J148" s="14">
        <f>IF(AND(G148&gt;0,E148&gt;0),H148*(G148-E148),0)</f>
        <v/>
      </c>
      <c r="M148" s="19" t="n"/>
      <c r="N148" s="15">
        <f>IF(AND(ISNUMBER(K148),ISNUMBER(A148)),NETWORKDAYS(A148,K148),0)</f>
        <v/>
      </c>
      <c r="O148" s="16">
        <f>IF(AND(ISNUMBER(M148),H148&gt;0),(M148-G148)*H148,0)</f>
        <v/>
      </c>
      <c r="P148" s="17">
        <f>IF(AND(ISNUMBER(M148),G148&gt;0),(M148-G148)/G148,0)</f>
        <v/>
      </c>
      <c r="Q148" s="18">
        <f>IF(J148&gt;0,O148/J148,0)</f>
        <v/>
      </c>
      <c r="R148" s="15">
        <f>IF(O148="","-",IF(O148&gt;0,"WIN",IF(O148&lt;0,"LOSS","FLAT")))</f>
        <v/>
      </c>
    </row>
    <row r="149">
      <c r="A149" s="8" t="inlineStr"/>
      <c r="B149" s="8" t="inlineStr"/>
      <c r="C149" s="9" t="inlineStr"/>
      <c r="D149" s="10" t="inlineStr"/>
      <c r="E149" s="10" t="inlineStr"/>
      <c r="F149" s="11" t="inlineStr"/>
      <c r="G149" s="10" t="inlineStr"/>
      <c r="H149" s="12">
        <f>IF(G149&gt;0,F149/G149,0)</f>
        <v/>
      </c>
      <c r="I149" s="13">
        <f>IF(G149&gt;0,(G149-D149)/D149,0)</f>
        <v/>
      </c>
      <c r="J149" s="14">
        <f>IF(AND(G149&gt;0,E149&gt;0),H149*(G149-E149),0)</f>
        <v/>
      </c>
      <c r="M149" s="19" t="n"/>
      <c r="N149" s="15">
        <f>IF(AND(ISNUMBER(K149),ISNUMBER(A149)),NETWORKDAYS(A149,K149),0)</f>
        <v/>
      </c>
      <c r="O149" s="16">
        <f>IF(AND(ISNUMBER(M149),H149&gt;0),(M149-G149)*H149,0)</f>
        <v/>
      </c>
      <c r="P149" s="17">
        <f>IF(AND(ISNUMBER(M149),G149&gt;0),(M149-G149)/G149,0)</f>
        <v/>
      </c>
      <c r="Q149" s="18">
        <f>IF(J149&gt;0,O149/J149,0)</f>
        <v/>
      </c>
      <c r="R149" s="15">
        <f>IF(O149="","-",IF(O149&gt;0,"WIN",IF(O149&lt;0,"LOSS","FLAT")))</f>
        <v/>
      </c>
    </row>
    <row r="150">
      <c r="A150" s="8" t="inlineStr"/>
      <c r="B150" s="8" t="inlineStr"/>
      <c r="C150" s="9" t="inlineStr"/>
      <c r="D150" s="10" t="inlineStr"/>
      <c r="E150" s="10" t="inlineStr"/>
      <c r="F150" s="11" t="inlineStr"/>
      <c r="G150" s="10" t="inlineStr"/>
      <c r="H150" s="12">
        <f>IF(G150&gt;0,F150/G150,0)</f>
        <v/>
      </c>
      <c r="I150" s="13">
        <f>IF(G150&gt;0,(G150-D150)/D150,0)</f>
        <v/>
      </c>
      <c r="J150" s="14">
        <f>IF(AND(G150&gt;0,E150&gt;0),H150*(G150-E150),0)</f>
        <v/>
      </c>
      <c r="M150" s="19" t="n"/>
      <c r="N150" s="15">
        <f>IF(AND(ISNUMBER(K150),ISNUMBER(A150)),NETWORKDAYS(A150,K150),0)</f>
        <v/>
      </c>
      <c r="O150" s="16">
        <f>IF(AND(ISNUMBER(M150),H150&gt;0),(M150-G150)*H150,0)</f>
        <v/>
      </c>
      <c r="P150" s="17">
        <f>IF(AND(ISNUMBER(M150),G150&gt;0),(M150-G150)/G150,0)</f>
        <v/>
      </c>
      <c r="Q150" s="18">
        <f>IF(J150&gt;0,O150/J150,0)</f>
        <v/>
      </c>
      <c r="R150" s="15">
        <f>IF(O150="","-",IF(O150&gt;0,"WIN",IF(O150&lt;0,"LOSS","FLAT")))</f>
        <v/>
      </c>
    </row>
    <row r="151">
      <c r="A151" s="8" t="inlineStr"/>
      <c r="B151" s="8" t="inlineStr"/>
      <c r="C151" s="9" t="inlineStr"/>
      <c r="D151" s="10" t="inlineStr"/>
      <c r="E151" s="10" t="inlineStr"/>
      <c r="F151" s="11" t="inlineStr"/>
      <c r="G151" s="10" t="inlineStr"/>
      <c r="H151" s="12">
        <f>IF(G151&gt;0,F151/G151,0)</f>
        <v/>
      </c>
      <c r="I151" s="13">
        <f>IF(G151&gt;0,(G151-D151)/D151,0)</f>
        <v/>
      </c>
      <c r="J151" s="14">
        <f>IF(AND(G151&gt;0,E151&gt;0),H151*(G151-E151),0)</f>
        <v/>
      </c>
      <c r="M151" s="19" t="n"/>
      <c r="N151" s="15">
        <f>IF(AND(ISNUMBER(K151),ISNUMBER(A151)),NETWORKDAYS(A151,K151),0)</f>
        <v/>
      </c>
      <c r="O151" s="16">
        <f>IF(AND(ISNUMBER(M151),H151&gt;0),(M151-G151)*H151,0)</f>
        <v/>
      </c>
      <c r="P151" s="17">
        <f>IF(AND(ISNUMBER(M151),G151&gt;0),(M151-G151)/G151,0)</f>
        <v/>
      </c>
      <c r="Q151" s="18">
        <f>IF(J151&gt;0,O151/J151,0)</f>
        <v/>
      </c>
      <c r="R151" s="15">
        <f>IF(O151="","-",IF(O151&gt;0,"WIN",IF(O151&lt;0,"LOSS","FLAT")))</f>
        <v/>
      </c>
    </row>
    <row r="152">
      <c r="A152" s="8" t="inlineStr"/>
      <c r="B152" s="8" t="inlineStr"/>
      <c r="C152" s="9" t="inlineStr"/>
      <c r="D152" s="10" t="inlineStr"/>
      <c r="E152" s="10" t="inlineStr"/>
      <c r="F152" s="11" t="inlineStr"/>
      <c r="G152" s="10" t="inlineStr"/>
      <c r="H152" s="12">
        <f>IF(G152&gt;0,F152/G152,0)</f>
        <v/>
      </c>
      <c r="I152" s="13">
        <f>IF(G152&gt;0,(G152-D152)/D152,0)</f>
        <v/>
      </c>
      <c r="J152" s="14">
        <f>IF(AND(G152&gt;0,E152&gt;0),H152*(G152-E152),0)</f>
        <v/>
      </c>
      <c r="M152" s="19" t="n"/>
      <c r="N152" s="15">
        <f>IF(AND(ISNUMBER(K152),ISNUMBER(A152)),NETWORKDAYS(A152,K152),0)</f>
        <v/>
      </c>
      <c r="O152" s="16">
        <f>IF(AND(ISNUMBER(M152),H152&gt;0),(M152-G152)*H152,0)</f>
        <v/>
      </c>
      <c r="P152" s="17">
        <f>IF(AND(ISNUMBER(M152),G152&gt;0),(M152-G152)/G152,0)</f>
        <v/>
      </c>
      <c r="Q152" s="18">
        <f>IF(J152&gt;0,O152/J152,0)</f>
        <v/>
      </c>
      <c r="R152" s="15">
        <f>IF(O152="","-",IF(O152&gt;0,"WIN",IF(O152&lt;0,"LOSS","FLAT")))</f>
        <v/>
      </c>
    </row>
    <row r="153">
      <c r="A153" s="8" t="inlineStr"/>
      <c r="B153" s="8" t="inlineStr"/>
      <c r="C153" s="9" t="inlineStr"/>
      <c r="D153" s="10" t="inlineStr"/>
      <c r="E153" s="10" t="inlineStr"/>
      <c r="F153" s="11" t="inlineStr"/>
      <c r="G153" s="10" t="inlineStr"/>
      <c r="H153" s="12">
        <f>IF(G153&gt;0,F153/G153,0)</f>
        <v/>
      </c>
      <c r="I153" s="13">
        <f>IF(G153&gt;0,(G153-D153)/D153,0)</f>
        <v/>
      </c>
      <c r="J153" s="14">
        <f>IF(AND(G153&gt;0,E153&gt;0),H153*(G153-E153),0)</f>
        <v/>
      </c>
      <c r="M153" s="19" t="n"/>
      <c r="N153" s="15">
        <f>IF(AND(ISNUMBER(K153),ISNUMBER(A153)),NETWORKDAYS(A153,K153),0)</f>
        <v/>
      </c>
      <c r="O153" s="16">
        <f>IF(AND(ISNUMBER(M153),H153&gt;0),(M153-G153)*H153,0)</f>
        <v/>
      </c>
      <c r="P153" s="17">
        <f>IF(AND(ISNUMBER(M153),G153&gt;0),(M153-G153)/G153,0)</f>
        <v/>
      </c>
      <c r="Q153" s="18">
        <f>IF(J153&gt;0,O153/J153,0)</f>
        <v/>
      </c>
      <c r="R153" s="15">
        <f>IF(O153="","-",IF(O153&gt;0,"WIN",IF(O153&lt;0,"LOSS","FLAT")))</f>
        <v/>
      </c>
    </row>
    <row r="154">
      <c r="A154" s="8" t="inlineStr"/>
      <c r="B154" s="8" t="inlineStr"/>
      <c r="C154" s="9" t="inlineStr"/>
      <c r="D154" s="10" t="inlineStr"/>
      <c r="E154" s="10" t="inlineStr"/>
      <c r="F154" s="11" t="inlineStr"/>
      <c r="G154" s="10" t="inlineStr"/>
      <c r="H154" s="12">
        <f>IF(G154&gt;0,F154/G154,0)</f>
        <v/>
      </c>
      <c r="I154" s="13">
        <f>IF(G154&gt;0,(G154-D154)/D154,0)</f>
        <v/>
      </c>
      <c r="J154" s="14">
        <f>IF(AND(G154&gt;0,E154&gt;0),H154*(G154-E154),0)</f>
        <v/>
      </c>
      <c r="M154" s="19" t="n"/>
      <c r="N154" s="15">
        <f>IF(AND(ISNUMBER(K154),ISNUMBER(A154)),NETWORKDAYS(A154,K154),0)</f>
        <v/>
      </c>
      <c r="O154" s="16">
        <f>IF(AND(ISNUMBER(M154),H154&gt;0),(M154-G154)*H154,0)</f>
        <v/>
      </c>
      <c r="P154" s="17">
        <f>IF(AND(ISNUMBER(M154),G154&gt;0),(M154-G154)/G154,0)</f>
        <v/>
      </c>
      <c r="Q154" s="18">
        <f>IF(J154&gt;0,O154/J154,0)</f>
        <v/>
      </c>
      <c r="R154" s="15">
        <f>IF(O154="","-",IF(O154&gt;0,"WIN",IF(O154&lt;0,"LOSS","FLAT")))</f>
        <v/>
      </c>
    </row>
    <row r="155">
      <c r="A155" s="8" t="inlineStr"/>
      <c r="B155" s="8" t="inlineStr"/>
      <c r="C155" s="9" t="inlineStr"/>
      <c r="D155" s="10" t="inlineStr"/>
      <c r="E155" s="10" t="inlineStr"/>
      <c r="F155" s="11" t="inlineStr"/>
      <c r="G155" s="10" t="inlineStr"/>
      <c r="H155" s="12">
        <f>IF(G155&gt;0,F155/G155,0)</f>
        <v/>
      </c>
      <c r="I155" s="13">
        <f>IF(G155&gt;0,(G155-D155)/D155,0)</f>
        <v/>
      </c>
      <c r="J155" s="14">
        <f>IF(AND(G155&gt;0,E155&gt;0),H155*(G155-E155),0)</f>
        <v/>
      </c>
      <c r="M155" s="19" t="n"/>
      <c r="N155" s="15">
        <f>IF(AND(ISNUMBER(K155),ISNUMBER(A155)),NETWORKDAYS(A155,K155),0)</f>
        <v/>
      </c>
      <c r="O155" s="16">
        <f>IF(AND(ISNUMBER(M155),H155&gt;0),(M155-G155)*H155,0)</f>
        <v/>
      </c>
      <c r="P155" s="17">
        <f>IF(AND(ISNUMBER(M155),G155&gt;0),(M155-G155)/G155,0)</f>
        <v/>
      </c>
      <c r="Q155" s="18">
        <f>IF(J155&gt;0,O155/J155,0)</f>
        <v/>
      </c>
      <c r="R155" s="15">
        <f>IF(O155="","-",IF(O155&gt;0,"WIN",IF(O155&lt;0,"LOSS","FLAT")))</f>
        <v/>
      </c>
    </row>
    <row r="156">
      <c r="A156" s="8" t="inlineStr"/>
      <c r="B156" s="8" t="inlineStr"/>
      <c r="C156" s="9" t="inlineStr"/>
      <c r="D156" s="10" t="inlineStr"/>
      <c r="E156" s="10" t="inlineStr"/>
      <c r="F156" s="11" t="inlineStr"/>
      <c r="G156" s="10" t="inlineStr"/>
      <c r="H156" s="12">
        <f>IF(G156&gt;0,F156/G156,0)</f>
        <v/>
      </c>
      <c r="I156" s="13">
        <f>IF(G156&gt;0,(G156-D156)/D156,0)</f>
        <v/>
      </c>
      <c r="J156" s="14">
        <f>IF(AND(G156&gt;0,E156&gt;0),H156*(G156-E156),0)</f>
        <v/>
      </c>
      <c r="M156" s="19" t="n"/>
      <c r="N156" s="15">
        <f>IF(AND(ISNUMBER(K156),ISNUMBER(A156)),NETWORKDAYS(A156,K156),0)</f>
        <v/>
      </c>
      <c r="O156" s="16">
        <f>IF(AND(ISNUMBER(M156),H156&gt;0),(M156-G156)*H156,0)</f>
        <v/>
      </c>
      <c r="P156" s="17">
        <f>IF(AND(ISNUMBER(M156),G156&gt;0),(M156-G156)/G156,0)</f>
        <v/>
      </c>
      <c r="Q156" s="18">
        <f>IF(J156&gt;0,O156/J156,0)</f>
        <v/>
      </c>
      <c r="R156" s="15">
        <f>IF(O156="","-",IF(O156&gt;0,"WIN",IF(O156&lt;0,"LOSS","FLAT")))</f>
        <v/>
      </c>
    </row>
    <row r="157">
      <c r="A157" s="8" t="inlineStr"/>
      <c r="B157" s="8" t="inlineStr"/>
      <c r="C157" s="9" t="inlineStr"/>
      <c r="D157" s="10" t="inlineStr"/>
      <c r="E157" s="10" t="inlineStr"/>
      <c r="F157" s="11" t="inlineStr"/>
      <c r="G157" s="10" t="inlineStr"/>
      <c r="H157" s="12">
        <f>IF(G157&gt;0,F157/G157,0)</f>
        <v/>
      </c>
      <c r="I157" s="13">
        <f>IF(G157&gt;0,(G157-D157)/D157,0)</f>
        <v/>
      </c>
      <c r="J157" s="14">
        <f>IF(AND(G157&gt;0,E157&gt;0),H157*(G157-E157),0)</f>
        <v/>
      </c>
      <c r="M157" s="19" t="n"/>
      <c r="N157" s="15">
        <f>IF(AND(ISNUMBER(K157),ISNUMBER(A157)),NETWORKDAYS(A157,K157),0)</f>
        <v/>
      </c>
      <c r="O157" s="16">
        <f>IF(AND(ISNUMBER(M157),H157&gt;0),(M157-G157)*H157,0)</f>
        <v/>
      </c>
      <c r="P157" s="17">
        <f>IF(AND(ISNUMBER(M157),G157&gt;0),(M157-G157)/G157,0)</f>
        <v/>
      </c>
      <c r="Q157" s="18">
        <f>IF(J157&gt;0,O157/J157,0)</f>
        <v/>
      </c>
      <c r="R157" s="15">
        <f>IF(O157="","-",IF(O157&gt;0,"WIN",IF(O157&lt;0,"LOSS","FLAT")))</f>
        <v/>
      </c>
    </row>
    <row r="158">
      <c r="A158" s="8" t="inlineStr"/>
      <c r="B158" s="8" t="inlineStr"/>
      <c r="C158" s="9" t="inlineStr"/>
      <c r="D158" s="10" t="inlineStr"/>
      <c r="E158" s="10" t="inlineStr"/>
      <c r="F158" s="11" t="inlineStr"/>
      <c r="G158" s="10" t="inlineStr"/>
      <c r="H158" s="12">
        <f>IF(G158&gt;0,F158/G158,0)</f>
        <v/>
      </c>
      <c r="I158" s="13">
        <f>IF(G158&gt;0,(G158-D158)/D158,0)</f>
        <v/>
      </c>
      <c r="J158" s="14">
        <f>IF(AND(G158&gt;0,E158&gt;0),H158*(G158-E158),0)</f>
        <v/>
      </c>
      <c r="M158" s="19" t="n"/>
      <c r="N158" s="15">
        <f>IF(AND(ISNUMBER(K158),ISNUMBER(A158)),NETWORKDAYS(A158,K158),0)</f>
        <v/>
      </c>
      <c r="O158" s="16">
        <f>IF(AND(ISNUMBER(M158),H158&gt;0),(M158-G158)*H158,0)</f>
        <v/>
      </c>
      <c r="P158" s="17">
        <f>IF(AND(ISNUMBER(M158),G158&gt;0),(M158-G158)/G158,0)</f>
        <v/>
      </c>
      <c r="Q158" s="18">
        <f>IF(J158&gt;0,O158/J158,0)</f>
        <v/>
      </c>
      <c r="R158" s="15">
        <f>IF(O158="","-",IF(O158&gt;0,"WIN",IF(O158&lt;0,"LOSS","FLAT")))</f>
        <v/>
      </c>
    </row>
    <row r="159">
      <c r="A159" s="8" t="inlineStr"/>
      <c r="B159" s="8" t="inlineStr"/>
      <c r="C159" s="9" t="inlineStr"/>
      <c r="D159" s="10" t="inlineStr"/>
      <c r="E159" s="10" t="inlineStr"/>
      <c r="F159" s="11" t="inlineStr"/>
      <c r="G159" s="10" t="inlineStr"/>
      <c r="H159" s="12">
        <f>IF(G159&gt;0,F159/G159,0)</f>
        <v/>
      </c>
      <c r="I159" s="13">
        <f>IF(G159&gt;0,(G159-D159)/D159,0)</f>
        <v/>
      </c>
      <c r="J159" s="14">
        <f>IF(AND(G159&gt;0,E159&gt;0),H159*(G159-E159),0)</f>
        <v/>
      </c>
      <c r="M159" s="19" t="n"/>
      <c r="N159" s="15">
        <f>IF(AND(ISNUMBER(K159),ISNUMBER(A159)),NETWORKDAYS(A159,K159),0)</f>
        <v/>
      </c>
      <c r="O159" s="16">
        <f>IF(AND(ISNUMBER(M159),H159&gt;0),(M159-G159)*H159,0)</f>
        <v/>
      </c>
      <c r="P159" s="17">
        <f>IF(AND(ISNUMBER(M159),G159&gt;0),(M159-G159)/G159,0)</f>
        <v/>
      </c>
      <c r="Q159" s="18">
        <f>IF(J159&gt;0,O159/J159,0)</f>
        <v/>
      </c>
      <c r="R159" s="15">
        <f>IF(O159="","-",IF(O159&gt;0,"WIN",IF(O159&lt;0,"LOSS","FLAT")))</f>
        <v/>
      </c>
    </row>
    <row r="160">
      <c r="A160" s="8" t="inlineStr"/>
      <c r="B160" s="8" t="inlineStr"/>
      <c r="C160" s="9" t="inlineStr"/>
      <c r="D160" s="10" t="inlineStr"/>
      <c r="E160" s="10" t="inlineStr"/>
      <c r="F160" s="11" t="inlineStr"/>
      <c r="G160" s="10" t="inlineStr"/>
      <c r="H160" s="12">
        <f>IF(G160&gt;0,F160/G160,0)</f>
        <v/>
      </c>
      <c r="I160" s="13">
        <f>IF(G160&gt;0,(G160-D160)/D160,0)</f>
        <v/>
      </c>
      <c r="J160" s="14">
        <f>IF(AND(G160&gt;0,E160&gt;0),H160*(G160-E160),0)</f>
        <v/>
      </c>
      <c r="M160" s="19" t="n"/>
      <c r="N160" s="15">
        <f>IF(AND(ISNUMBER(K160),ISNUMBER(A160)),NETWORKDAYS(A160,K160),0)</f>
        <v/>
      </c>
      <c r="O160" s="16">
        <f>IF(AND(ISNUMBER(M160),H160&gt;0),(M160-G160)*H160,0)</f>
        <v/>
      </c>
      <c r="P160" s="17">
        <f>IF(AND(ISNUMBER(M160),G160&gt;0),(M160-G160)/G160,0)</f>
        <v/>
      </c>
      <c r="Q160" s="18">
        <f>IF(J160&gt;0,O160/J160,0)</f>
        <v/>
      </c>
      <c r="R160" s="15">
        <f>IF(O160="","-",IF(O160&gt;0,"WIN",IF(O160&lt;0,"LOSS","FLAT")))</f>
        <v/>
      </c>
    </row>
    <row r="161">
      <c r="A161" s="8" t="inlineStr"/>
      <c r="B161" s="8" t="inlineStr"/>
      <c r="C161" s="9" t="inlineStr"/>
      <c r="D161" s="10" t="inlineStr"/>
      <c r="E161" s="10" t="inlineStr"/>
      <c r="F161" s="11" t="inlineStr"/>
      <c r="G161" s="10" t="inlineStr"/>
      <c r="H161" s="12">
        <f>IF(G161&gt;0,F161/G161,0)</f>
        <v/>
      </c>
      <c r="I161" s="13">
        <f>IF(G161&gt;0,(G161-D161)/D161,0)</f>
        <v/>
      </c>
      <c r="J161" s="14">
        <f>IF(AND(G161&gt;0,E161&gt;0),H161*(G161-E161),0)</f>
        <v/>
      </c>
      <c r="M161" s="19" t="n"/>
      <c r="N161" s="15">
        <f>IF(AND(ISNUMBER(K161),ISNUMBER(A161)),NETWORKDAYS(A161,K161),0)</f>
        <v/>
      </c>
      <c r="O161" s="16">
        <f>IF(AND(ISNUMBER(M161),H161&gt;0),(M161-G161)*H161,0)</f>
        <v/>
      </c>
      <c r="P161" s="17">
        <f>IF(AND(ISNUMBER(M161),G161&gt;0),(M161-G161)/G161,0)</f>
        <v/>
      </c>
      <c r="Q161" s="18">
        <f>IF(J161&gt;0,O161/J161,0)</f>
        <v/>
      </c>
      <c r="R161" s="15">
        <f>IF(O161="","-",IF(O161&gt;0,"WIN",IF(O161&lt;0,"LOSS","FLAT")))</f>
        <v/>
      </c>
    </row>
    <row r="162">
      <c r="A162" s="8" t="inlineStr"/>
      <c r="B162" s="8" t="inlineStr"/>
      <c r="C162" s="9" t="inlineStr"/>
      <c r="D162" s="10" t="inlineStr"/>
      <c r="E162" s="10" t="inlineStr"/>
      <c r="F162" s="11" t="inlineStr"/>
      <c r="G162" s="10" t="inlineStr"/>
      <c r="H162" s="12">
        <f>IF(G162&gt;0,F162/G162,0)</f>
        <v/>
      </c>
      <c r="I162" s="13">
        <f>IF(G162&gt;0,(G162-D162)/D162,0)</f>
        <v/>
      </c>
      <c r="J162" s="14">
        <f>IF(AND(G162&gt;0,E162&gt;0),H162*(G162-E162),0)</f>
        <v/>
      </c>
      <c r="M162" s="19" t="n"/>
      <c r="N162" s="15">
        <f>IF(AND(ISNUMBER(K162),ISNUMBER(A162)),NETWORKDAYS(A162,K162),0)</f>
        <v/>
      </c>
      <c r="O162" s="16">
        <f>IF(AND(ISNUMBER(M162),H162&gt;0),(M162-G162)*H162,0)</f>
        <v/>
      </c>
      <c r="P162" s="17">
        <f>IF(AND(ISNUMBER(M162),G162&gt;0),(M162-G162)/G162,0)</f>
        <v/>
      </c>
      <c r="Q162" s="18">
        <f>IF(J162&gt;0,O162/J162,0)</f>
        <v/>
      </c>
      <c r="R162" s="15">
        <f>IF(O162="","-",IF(O162&gt;0,"WIN",IF(O162&lt;0,"LOSS","FLAT")))</f>
        <v/>
      </c>
    </row>
    <row r="163">
      <c r="A163" s="8" t="inlineStr"/>
      <c r="B163" s="8" t="inlineStr"/>
      <c r="C163" s="9" t="inlineStr"/>
      <c r="D163" s="10" t="inlineStr"/>
      <c r="E163" s="10" t="inlineStr"/>
      <c r="F163" s="11" t="inlineStr"/>
      <c r="G163" s="10" t="inlineStr"/>
      <c r="H163" s="12">
        <f>IF(G163&gt;0,F163/G163,0)</f>
        <v/>
      </c>
      <c r="I163" s="13">
        <f>IF(G163&gt;0,(G163-D163)/D163,0)</f>
        <v/>
      </c>
      <c r="J163" s="14">
        <f>IF(AND(G163&gt;0,E163&gt;0),H163*(G163-E163),0)</f>
        <v/>
      </c>
      <c r="M163" s="19" t="n"/>
      <c r="N163" s="15">
        <f>IF(AND(ISNUMBER(K163),ISNUMBER(A163)),NETWORKDAYS(A163,K163),0)</f>
        <v/>
      </c>
      <c r="O163" s="16">
        <f>IF(AND(ISNUMBER(M163),H163&gt;0),(M163-G163)*H163,0)</f>
        <v/>
      </c>
      <c r="P163" s="17">
        <f>IF(AND(ISNUMBER(M163),G163&gt;0),(M163-G163)/G163,0)</f>
        <v/>
      </c>
      <c r="Q163" s="18">
        <f>IF(J163&gt;0,O163/J163,0)</f>
        <v/>
      </c>
      <c r="R163" s="15">
        <f>IF(O163="","-",IF(O163&gt;0,"WIN",IF(O163&lt;0,"LOSS","FLAT")))</f>
        <v/>
      </c>
    </row>
    <row r="164">
      <c r="A164" s="8" t="inlineStr"/>
      <c r="B164" s="8" t="inlineStr"/>
      <c r="C164" s="9" t="inlineStr"/>
      <c r="D164" s="10" t="inlineStr"/>
      <c r="E164" s="10" t="inlineStr"/>
      <c r="F164" s="11" t="inlineStr"/>
      <c r="G164" s="10" t="inlineStr"/>
      <c r="H164" s="12">
        <f>IF(G164&gt;0,F164/G164,0)</f>
        <v/>
      </c>
      <c r="I164" s="13">
        <f>IF(G164&gt;0,(G164-D164)/D164,0)</f>
        <v/>
      </c>
      <c r="J164" s="14">
        <f>IF(AND(G164&gt;0,E164&gt;0),H164*(G164-E164),0)</f>
        <v/>
      </c>
      <c r="M164" s="19" t="n"/>
      <c r="N164" s="15">
        <f>IF(AND(ISNUMBER(K164),ISNUMBER(A164)),NETWORKDAYS(A164,K164),0)</f>
        <v/>
      </c>
      <c r="O164" s="16">
        <f>IF(AND(ISNUMBER(M164),H164&gt;0),(M164-G164)*H164,0)</f>
        <v/>
      </c>
      <c r="P164" s="17">
        <f>IF(AND(ISNUMBER(M164),G164&gt;0),(M164-G164)/G164,0)</f>
        <v/>
      </c>
      <c r="Q164" s="18">
        <f>IF(J164&gt;0,O164/J164,0)</f>
        <v/>
      </c>
      <c r="R164" s="15">
        <f>IF(O164="","-",IF(O164&gt;0,"WIN",IF(O164&lt;0,"LOSS","FLAT")))</f>
        <v/>
      </c>
    </row>
    <row r="165">
      <c r="A165" s="8" t="inlineStr"/>
      <c r="B165" s="8" t="inlineStr"/>
      <c r="C165" s="9" t="inlineStr"/>
      <c r="D165" s="10" t="inlineStr"/>
      <c r="E165" s="10" t="inlineStr"/>
      <c r="F165" s="11" t="inlineStr"/>
      <c r="G165" s="10" t="inlineStr"/>
      <c r="H165" s="12">
        <f>IF(G165&gt;0,F165/G165,0)</f>
        <v/>
      </c>
      <c r="I165" s="13">
        <f>IF(G165&gt;0,(G165-D165)/D165,0)</f>
        <v/>
      </c>
      <c r="J165" s="14">
        <f>IF(AND(G165&gt;0,E165&gt;0),H165*(G165-E165),0)</f>
        <v/>
      </c>
      <c r="M165" s="19" t="n"/>
      <c r="N165" s="15">
        <f>IF(AND(ISNUMBER(K165),ISNUMBER(A165)),NETWORKDAYS(A165,K165),0)</f>
        <v/>
      </c>
      <c r="O165" s="16">
        <f>IF(AND(ISNUMBER(M165),H165&gt;0),(M165-G165)*H165,0)</f>
        <v/>
      </c>
      <c r="P165" s="17">
        <f>IF(AND(ISNUMBER(M165),G165&gt;0),(M165-G165)/G165,0)</f>
        <v/>
      </c>
      <c r="Q165" s="18">
        <f>IF(J165&gt;0,O165/J165,0)</f>
        <v/>
      </c>
      <c r="R165" s="15">
        <f>IF(O165="","-",IF(O165&gt;0,"WIN",IF(O165&lt;0,"LOSS","FLAT")))</f>
        <v/>
      </c>
    </row>
    <row r="166">
      <c r="A166" s="8" t="inlineStr"/>
      <c r="B166" s="8" t="inlineStr"/>
      <c r="C166" s="9" t="inlineStr"/>
      <c r="D166" s="10" t="inlineStr"/>
      <c r="E166" s="10" t="inlineStr"/>
      <c r="F166" s="11" t="inlineStr"/>
      <c r="G166" s="10" t="inlineStr"/>
      <c r="H166" s="12">
        <f>IF(G166&gt;0,F166/G166,0)</f>
        <v/>
      </c>
      <c r="I166" s="13">
        <f>IF(G166&gt;0,(G166-D166)/D166,0)</f>
        <v/>
      </c>
      <c r="J166" s="14">
        <f>IF(AND(G166&gt;0,E166&gt;0),H166*(G166-E166),0)</f>
        <v/>
      </c>
      <c r="M166" s="19" t="n"/>
      <c r="N166" s="15">
        <f>IF(AND(ISNUMBER(K166),ISNUMBER(A166)),NETWORKDAYS(A166,K166),0)</f>
        <v/>
      </c>
      <c r="O166" s="16">
        <f>IF(AND(ISNUMBER(M166),H166&gt;0),(M166-G166)*H166,0)</f>
        <v/>
      </c>
      <c r="P166" s="17">
        <f>IF(AND(ISNUMBER(M166),G166&gt;0),(M166-G166)/G166,0)</f>
        <v/>
      </c>
      <c r="Q166" s="18">
        <f>IF(J166&gt;0,O166/J166,0)</f>
        <v/>
      </c>
      <c r="R166" s="15">
        <f>IF(O166="","-",IF(O166&gt;0,"WIN",IF(O166&lt;0,"LOSS","FLAT")))</f>
        <v/>
      </c>
    </row>
    <row r="167">
      <c r="A167" s="8" t="inlineStr"/>
      <c r="B167" s="8" t="inlineStr"/>
      <c r="C167" s="9" t="inlineStr"/>
      <c r="D167" s="10" t="inlineStr"/>
      <c r="E167" s="10" t="inlineStr"/>
      <c r="F167" s="11" t="inlineStr"/>
      <c r="G167" s="10" t="inlineStr"/>
      <c r="H167" s="12">
        <f>IF(G167&gt;0,F167/G167,0)</f>
        <v/>
      </c>
      <c r="I167" s="13">
        <f>IF(G167&gt;0,(G167-D167)/D167,0)</f>
        <v/>
      </c>
      <c r="J167" s="14">
        <f>IF(AND(G167&gt;0,E167&gt;0),H167*(G167-E167),0)</f>
        <v/>
      </c>
      <c r="M167" s="19" t="n"/>
      <c r="N167" s="15">
        <f>IF(AND(ISNUMBER(K167),ISNUMBER(A167)),NETWORKDAYS(A167,K167),0)</f>
        <v/>
      </c>
      <c r="O167" s="16">
        <f>IF(AND(ISNUMBER(M167),H167&gt;0),(M167-G167)*H167,0)</f>
        <v/>
      </c>
      <c r="P167" s="17">
        <f>IF(AND(ISNUMBER(M167),G167&gt;0),(M167-G167)/G167,0)</f>
        <v/>
      </c>
      <c r="Q167" s="18">
        <f>IF(J167&gt;0,O167/J167,0)</f>
        <v/>
      </c>
      <c r="R167" s="15">
        <f>IF(O167="","-",IF(O167&gt;0,"WIN",IF(O167&lt;0,"LOSS","FLAT")))</f>
        <v/>
      </c>
    </row>
    <row r="168">
      <c r="A168" s="8" t="inlineStr"/>
      <c r="B168" s="8" t="inlineStr"/>
      <c r="C168" s="9" t="inlineStr"/>
      <c r="D168" s="10" t="inlineStr"/>
      <c r="E168" s="10" t="inlineStr"/>
      <c r="F168" s="11" t="inlineStr"/>
      <c r="G168" s="10" t="inlineStr"/>
      <c r="H168" s="12">
        <f>IF(G168&gt;0,F168/G168,0)</f>
        <v/>
      </c>
      <c r="I168" s="13">
        <f>IF(G168&gt;0,(G168-D168)/D168,0)</f>
        <v/>
      </c>
      <c r="J168" s="14">
        <f>IF(AND(G168&gt;0,E168&gt;0),H168*(G168-E168),0)</f>
        <v/>
      </c>
      <c r="M168" s="19" t="n"/>
      <c r="N168" s="15">
        <f>IF(AND(ISNUMBER(K168),ISNUMBER(A168)),NETWORKDAYS(A168,K168),0)</f>
        <v/>
      </c>
      <c r="O168" s="16">
        <f>IF(AND(ISNUMBER(M168),H168&gt;0),(M168-G168)*H168,0)</f>
        <v/>
      </c>
      <c r="P168" s="17">
        <f>IF(AND(ISNUMBER(M168),G168&gt;0),(M168-G168)/G168,0)</f>
        <v/>
      </c>
      <c r="Q168" s="18">
        <f>IF(J168&gt;0,O168/J168,0)</f>
        <v/>
      </c>
      <c r="R168" s="15">
        <f>IF(O168="","-",IF(O168&gt;0,"WIN",IF(O168&lt;0,"LOSS","FLAT")))</f>
        <v/>
      </c>
    </row>
    <row r="169">
      <c r="A169" s="8" t="inlineStr"/>
      <c r="B169" s="8" t="inlineStr"/>
      <c r="C169" s="9" t="inlineStr"/>
      <c r="D169" s="10" t="inlineStr"/>
      <c r="E169" s="10" t="inlineStr"/>
      <c r="F169" s="11" t="inlineStr"/>
      <c r="G169" s="10" t="inlineStr"/>
      <c r="H169" s="12">
        <f>IF(G169&gt;0,F169/G169,0)</f>
        <v/>
      </c>
      <c r="I169" s="13">
        <f>IF(G169&gt;0,(G169-D169)/D169,0)</f>
        <v/>
      </c>
      <c r="J169" s="14">
        <f>IF(AND(G169&gt;0,E169&gt;0),H169*(G169-E169),0)</f>
        <v/>
      </c>
      <c r="M169" s="19" t="n"/>
      <c r="N169" s="15">
        <f>IF(AND(ISNUMBER(K169),ISNUMBER(A169)),NETWORKDAYS(A169,K169),0)</f>
        <v/>
      </c>
      <c r="O169" s="16">
        <f>IF(AND(ISNUMBER(M169),H169&gt;0),(M169-G169)*H169,0)</f>
        <v/>
      </c>
      <c r="P169" s="17">
        <f>IF(AND(ISNUMBER(M169),G169&gt;0),(M169-G169)/G169,0)</f>
        <v/>
      </c>
      <c r="Q169" s="18">
        <f>IF(J169&gt;0,O169/J169,0)</f>
        <v/>
      </c>
      <c r="R169" s="15">
        <f>IF(O169="","-",IF(O169&gt;0,"WIN",IF(O169&lt;0,"LOSS","FLAT")))</f>
        <v/>
      </c>
    </row>
    <row r="170">
      <c r="A170" s="8" t="inlineStr"/>
      <c r="B170" s="8" t="inlineStr"/>
      <c r="C170" s="9" t="inlineStr"/>
      <c r="D170" s="10" t="inlineStr"/>
      <c r="E170" s="10" t="inlineStr"/>
      <c r="F170" s="11" t="inlineStr"/>
      <c r="G170" s="10" t="inlineStr"/>
      <c r="H170" s="12">
        <f>IF(G170&gt;0,F170/G170,0)</f>
        <v/>
      </c>
      <c r="I170" s="13">
        <f>IF(G170&gt;0,(G170-D170)/D170,0)</f>
        <v/>
      </c>
      <c r="J170" s="14">
        <f>IF(AND(G170&gt;0,E170&gt;0),H170*(G170-E170),0)</f>
        <v/>
      </c>
      <c r="M170" s="19" t="n"/>
      <c r="N170" s="15">
        <f>IF(AND(ISNUMBER(K170),ISNUMBER(A170)),NETWORKDAYS(A170,K170),0)</f>
        <v/>
      </c>
      <c r="O170" s="16">
        <f>IF(AND(ISNUMBER(M170),H170&gt;0),(M170-G170)*H170,0)</f>
        <v/>
      </c>
      <c r="P170" s="17">
        <f>IF(AND(ISNUMBER(M170),G170&gt;0),(M170-G170)/G170,0)</f>
        <v/>
      </c>
      <c r="Q170" s="18">
        <f>IF(J170&gt;0,O170/J170,0)</f>
        <v/>
      </c>
      <c r="R170" s="15">
        <f>IF(O170="","-",IF(O170&gt;0,"WIN",IF(O170&lt;0,"LOSS","FLAT")))</f>
        <v/>
      </c>
    </row>
    <row r="171">
      <c r="A171" s="8" t="inlineStr"/>
      <c r="B171" s="8" t="inlineStr"/>
      <c r="C171" s="9" t="inlineStr"/>
      <c r="D171" s="10" t="inlineStr"/>
      <c r="E171" s="10" t="inlineStr"/>
      <c r="F171" s="11" t="inlineStr"/>
      <c r="G171" s="10" t="inlineStr"/>
      <c r="H171" s="12">
        <f>IF(G171&gt;0,F171/G171,0)</f>
        <v/>
      </c>
      <c r="I171" s="13">
        <f>IF(G171&gt;0,(G171-D171)/D171,0)</f>
        <v/>
      </c>
      <c r="J171" s="14">
        <f>IF(AND(G171&gt;0,E171&gt;0),H171*(G171-E171),0)</f>
        <v/>
      </c>
      <c r="M171" s="19" t="n"/>
      <c r="N171" s="15">
        <f>IF(AND(ISNUMBER(K171),ISNUMBER(A171)),NETWORKDAYS(A171,K171),0)</f>
        <v/>
      </c>
      <c r="O171" s="16">
        <f>IF(AND(ISNUMBER(M171),H171&gt;0),(M171-G171)*H171,0)</f>
        <v/>
      </c>
      <c r="P171" s="17">
        <f>IF(AND(ISNUMBER(M171),G171&gt;0),(M171-G171)/G171,0)</f>
        <v/>
      </c>
      <c r="Q171" s="18">
        <f>IF(J171&gt;0,O171/J171,0)</f>
        <v/>
      </c>
      <c r="R171" s="15">
        <f>IF(O171="","-",IF(O171&gt;0,"WIN",IF(O171&lt;0,"LOSS","FLAT")))</f>
        <v/>
      </c>
    </row>
    <row r="172">
      <c r="A172" s="8" t="inlineStr"/>
      <c r="B172" s="8" t="inlineStr"/>
      <c r="C172" s="9" t="inlineStr"/>
      <c r="D172" s="10" t="inlineStr"/>
      <c r="E172" s="10" t="inlineStr"/>
      <c r="F172" s="11" t="inlineStr"/>
      <c r="G172" s="10" t="inlineStr"/>
      <c r="H172" s="12">
        <f>IF(G172&gt;0,F172/G172,0)</f>
        <v/>
      </c>
      <c r="I172" s="13">
        <f>IF(G172&gt;0,(G172-D172)/D172,0)</f>
        <v/>
      </c>
      <c r="J172" s="14">
        <f>IF(AND(G172&gt;0,E172&gt;0),H172*(G172-E172),0)</f>
        <v/>
      </c>
      <c r="M172" s="19" t="n"/>
      <c r="N172" s="15">
        <f>IF(AND(ISNUMBER(K172),ISNUMBER(A172)),NETWORKDAYS(A172,K172),0)</f>
        <v/>
      </c>
      <c r="O172" s="16">
        <f>IF(AND(ISNUMBER(M172),H172&gt;0),(M172-G172)*H172,0)</f>
        <v/>
      </c>
      <c r="P172" s="17">
        <f>IF(AND(ISNUMBER(M172),G172&gt;0),(M172-G172)/G172,0)</f>
        <v/>
      </c>
      <c r="Q172" s="18">
        <f>IF(J172&gt;0,O172/J172,0)</f>
        <v/>
      </c>
      <c r="R172" s="15">
        <f>IF(O172="","-",IF(O172&gt;0,"WIN",IF(O172&lt;0,"LOSS","FLAT")))</f>
        <v/>
      </c>
    </row>
    <row r="173">
      <c r="A173" s="8" t="inlineStr"/>
      <c r="B173" s="8" t="inlineStr"/>
      <c r="C173" s="9" t="inlineStr"/>
      <c r="D173" s="10" t="inlineStr"/>
      <c r="E173" s="10" t="inlineStr"/>
      <c r="F173" s="11" t="inlineStr"/>
      <c r="G173" s="10" t="inlineStr"/>
      <c r="H173" s="12">
        <f>IF(G173&gt;0,F173/G173,0)</f>
        <v/>
      </c>
      <c r="I173" s="13">
        <f>IF(G173&gt;0,(G173-D173)/D173,0)</f>
        <v/>
      </c>
      <c r="J173" s="14">
        <f>IF(AND(G173&gt;0,E173&gt;0),H173*(G173-E173),0)</f>
        <v/>
      </c>
      <c r="M173" s="19" t="n"/>
      <c r="N173" s="15">
        <f>IF(AND(ISNUMBER(K173),ISNUMBER(A173)),NETWORKDAYS(A173,K173),0)</f>
        <v/>
      </c>
      <c r="O173" s="16">
        <f>IF(AND(ISNUMBER(M173),H173&gt;0),(M173-G173)*H173,0)</f>
        <v/>
      </c>
      <c r="P173" s="17">
        <f>IF(AND(ISNUMBER(M173),G173&gt;0),(M173-G173)/G173,0)</f>
        <v/>
      </c>
      <c r="Q173" s="18">
        <f>IF(J173&gt;0,O173/J173,0)</f>
        <v/>
      </c>
      <c r="R173" s="15">
        <f>IF(O173="","-",IF(O173&gt;0,"WIN",IF(O173&lt;0,"LOSS","FLAT")))</f>
        <v/>
      </c>
    </row>
    <row r="174">
      <c r="A174" s="8" t="inlineStr"/>
      <c r="B174" s="8" t="inlineStr"/>
      <c r="C174" s="9" t="inlineStr"/>
      <c r="D174" s="10" t="inlineStr"/>
      <c r="E174" s="10" t="inlineStr"/>
      <c r="F174" s="11" t="inlineStr"/>
      <c r="G174" s="10" t="inlineStr"/>
      <c r="H174" s="12">
        <f>IF(G174&gt;0,F174/G174,0)</f>
        <v/>
      </c>
      <c r="I174" s="13">
        <f>IF(G174&gt;0,(G174-D174)/D174,0)</f>
        <v/>
      </c>
      <c r="J174" s="14">
        <f>IF(AND(G174&gt;0,E174&gt;0),H174*(G174-E174),0)</f>
        <v/>
      </c>
      <c r="M174" s="19" t="n"/>
      <c r="N174" s="15">
        <f>IF(AND(ISNUMBER(K174),ISNUMBER(A174)),NETWORKDAYS(A174,K174),0)</f>
        <v/>
      </c>
      <c r="O174" s="16">
        <f>IF(AND(ISNUMBER(M174),H174&gt;0),(M174-G174)*H174,0)</f>
        <v/>
      </c>
      <c r="P174" s="17">
        <f>IF(AND(ISNUMBER(M174),G174&gt;0),(M174-G174)/G174,0)</f>
        <v/>
      </c>
      <c r="Q174" s="18">
        <f>IF(J174&gt;0,O174/J174,0)</f>
        <v/>
      </c>
      <c r="R174" s="15">
        <f>IF(O174="","-",IF(O174&gt;0,"WIN",IF(O174&lt;0,"LOSS","FLAT")))</f>
        <v/>
      </c>
    </row>
    <row r="175">
      <c r="A175" s="8" t="inlineStr"/>
      <c r="B175" s="8" t="inlineStr"/>
      <c r="C175" s="9" t="inlineStr"/>
      <c r="D175" s="10" t="inlineStr"/>
      <c r="E175" s="10" t="inlineStr"/>
      <c r="F175" s="11" t="inlineStr"/>
      <c r="G175" s="10" t="inlineStr"/>
      <c r="H175" s="12">
        <f>IF(G175&gt;0,F175/G175,0)</f>
        <v/>
      </c>
      <c r="I175" s="13">
        <f>IF(G175&gt;0,(G175-D175)/D175,0)</f>
        <v/>
      </c>
      <c r="J175" s="14">
        <f>IF(AND(G175&gt;0,E175&gt;0),H175*(G175-E175),0)</f>
        <v/>
      </c>
      <c r="M175" s="19" t="n"/>
      <c r="N175" s="15">
        <f>IF(AND(ISNUMBER(K175),ISNUMBER(A175)),NETWORKDAYS(A175,K175),0)</f>
        <v/>
      </c>
      <c r="O175" s="16">
        <f>IF(AND(ISNUMBER(M175),H175&gt;0),(M175-G175)*H175,0)</f>
        <v/>
      </c>
      <c r="P175" s="17">
        <f>IF(AND(ISNUMBER(M175),G175&gt;0),(M175-G175)/G175,0)</f>
        <v/>
      </c>
      <c r="Q175" s="18">
        <f>IF(J175&gt;0,O175/J175,0)</f>
        <v/>
      </c>
      <c r="R175" s="15">
        <f>IF(O175="","-",IF(O175&gt;0,"WIN",IF(O175&lt;0,"LOSS","FLAT")))</f>
        <v/>
      </c>
    </row>
    <row r="176">
      <c r="A176" s="8" t="inlineStr"/>
      <c r="B176" s="8" t="inlineStr"/>
      <c r="C176" s="9" t="inlineStr"/>
      <c r="D176" s="10" t="inlineStr"/>
      <c r="E176" s="10" t="inlineStr"/>
      <c r="F176" s="11" t="inlineStr"/>
      <c r="G176" s="10" t="inlineStr"/>
      <c r="H176" s="12">
        <f>IF(G176&gt;0,F176/G176,0)</f>
        <v/>
      </c>
      <c r="I176" s="13">
        <f>IF(G176&gt;0,(G176-D176)/D176,0)</f>
        <v/>
      </c>
      <c r="J176" s="14">
        <f>IF(AND(G176&gt;0,E176&gt;0),H176*(G176-E176),0)</f>
        <v/>
      </c>
      <c r="M176" s="19" t="n"/>
      <c r="N176" s="15">
        <f>IF(AND(ISNUMBER(K176),ISNUMBER(A176)),NETWORKDAYS(A176,K176),0)</f>
        <v/>
      </c>
      <c r="O176" s="16">
        <f>IF(AND(ISNUMBER(M176),H176&gt;0),(M176-G176)*H176,0)</f>
        <v/>
      </c>
      <c r="P176" s="17">
        <f>IF(AND(ISNUMBER(M176),G176&gt;0),(M176-G176)/G176,0)</f>
        <v/>
      </c>
      <c r="Q176" s="18">
        <f>IF(J176&gt;0,O176/J176,0)</f>
        <v/>
      </c>
      <c r="R176" s="15">
        <f>IF(O176="","-",IF(O176&gt;0,"WIN",IF(O176&lt;0,"LOSS","FLAT")))</f>
        <v/>
      </c>
    </row>
    <row r="177">
      <c r="A177" s="8" t="inlineStr"/>
      <c r="B177" s="8" t="inlineStr"/>
      <c r="C177" s="9" t="inlineStr"/>
      <c r="D177" s="10" t="inlineStr"/>
      <c r="E177" s="10" t="inlineStr"/>
      <c r="F177" s="11" t="inlineStr"/>
      <c r="G177" s="10" t="inlineStr"/>
      <c r="H177" s="12">
        <f>IF(G177&gt;0,F177/G177,0)</f>
        <v/>
      </c>
      <c r="I177" s="13">
        <f>IF(G177&gt;0,(G177-D177)/D177,0)</f>
        <v/>
      </c>
      <c r="J177" s="14">
        <f>IF(AND(G177&gt;0,E177&gt;0),H177*(G177-E177),0)</f>
        <v/>
      </c>
      <c r="M177" s="19" t="n"/>
      <c r="N177" s="15">
        <f>IF(AND(ISNUMBER(K177),ISNUMBER(A177)),NETWORKDAYS(A177,K177),0)</f>
        <v/>
      </c>
      <c r="O177" s="16">
        <f>IF(AND(ISNUMBER(M177),H177&gt;0),(M177-G177)*H177,0)</f>
        <v/>
      </c>
      <c r="P177" s="17">
        <f>IF(AND(ISNUMBER(M177),G177&gt;0),(M177-G177)/G177,0)</f>
        <v/>
      </c>
      <c r="Q177" s="18">
        <f>IF(J177&gt;0,O177/J177,0)</f>
        <v/>
      </c>
      <c r="R177" s="15">
        <f>IF(O177="","-",IF(O177&gt;0,"WIN",IF(O177&lt;0,"LOSS","FLAT")))</f>
        <v/>
      </c>
    </row>
    <row r="178">
      <c r="A178" s="8" t="inlineStr"/>
      <c r="B178" s="8" t="inlineStr"/>
      <c r="C178" s="9" t="inlineStr"/>
      <c r="D178" s="10" t="inlineStr"/>
      <c r="E178" s="10" t="inlineStr"/>
      <c r="F178" s="11" t="inlineStr"/>
      <c r="G178" s="10" t="inlineStr"/>
      <c r="H178" s="12">
        <f>IF(G178&gt;0,F178/G178,0)</f>
        <v/>
      </c>
      <c r="I178" s="13">
        <f>IF(G178&gt;0,(G178-D178)/D178,0)</f>
        <v/>
      </c>
      <c r="J178" s="14">
        <f>IF(AND(G178&gt;0,E178&gt;0),H178*(G178-E178),0)</f>
        <v/>
      </c>
      <c r="M178" s="19" t="n"/>
      <c r="N178" s="15">
        <f>IF(AND(ISNUMBER(K178),ISNUMBER(A178)),NETWORKDAYS(A178,K178),0)</f>
        <v/>
      </c>
      <c r="O178" s="16">
        <f>IF(AND(ISNUMBER(M178),H178&gt;0),(M178-G178)*H178,0)</f>
        <v/>
      </c>
      <c r="P178" s="17">
        <f>IF(AND(ISNUMBER(M178),G178&gt;0),(M178-G178)/G178,0)</f>
        <v/>
      </c>
      <c r="Q178" s="18">
        <f>IF(J178&gt;0,O178/J178,0)</f>
        <v/>
      </c>
      <c r="R178" s="15">
        <f>IF(O178="","-",IF(O178&gt;0,"WIN",IF(O178&lt;0,"LOSS","FLAT")))</f>
        <v/>
      </c>
    </row>
    <row r="179">
      <c r="A179" s="8" t="inlineStr"/>
      <c r="B179" s="8" t="inlineStr"/>
      <c r="C179" s="9" t="inlineStr"/>
      <c r="D179" s="10" t="inlineStr"/>
      <c r="E179" s="10" t="inlineStr"/>
      <c r="F179" s="11" t="inlineStr"/>
      <c r="G179" s="10" t="inlineStr"/>
      <c r="H179" s="12">
        <f>IF(G179&gt;0,F179/G179,0)</f>
        <v/>
      </c>
      <c r="I179" s="13">
        <f>IF(G179&gt;0,(G179-D179)/D179,0)</f>
        <v/>
      </c>
      <c r="J179" s="14">
        <f>IF(AND(G179&gt;0,E179&gt;0),H179*(G179-E179),0)</f>
        <v/>
      </c>
      <c r="M179" s="19" t="n"/>
      <c r="N179" s="15">
        <f>IF(AND(ISNUMBER(K179),ISNUMBER(A179)),NETWORKDAYS(A179,K179),0)</f>
        <v/>
      </c>
      <c r="O179" s="16">
        <f>IF(AND(ISNUMBER(M179),H179&gt;0),(M179-G179)*H179,0)</f>
        <v/>
      </c>
      <c r="P179" s="17">
        <f>IF(AND(ISNUMBER(M179),G179&gt;0),(M179-G179)/G179,0)</f>
        <v/>
      </c>
      <c r="Q179" s="18">
        <f>IF(J179&gt;0,O179/J179,0)</f>
        <v/>
      </c>
      <c r="R179" s="15">
        <f>IF(O179="","-",IF(O179&gt;0,"WIN",IF(O179&lt;0,"LOSS","FLAT")))</f>
        <v/>
      </c>
    </row>
    <row r="180">
      <c r="A180" s="8" t="inlineStr"/>
      <c r="B180" s="8" t="inlineStr"/>
      <c r="C180" s="9" t="inlineStr"/>
      <c r="D180" s="10" t="inlineStr"/>
      <c r="E180" s="10" t="inlineStr"/>
      <c r="F180" s="11" t="inlineStr"/>
      <c r="G180" s="10" t="inlineStr"/>
      <c r="H180" s="12">
        <f>IF(G180&gt;0,F180/G180,0)</f>
        <v/>
      </c>
      <c r="I180" s="13">
        <f>IF(G180&gt;0,(G180-D180)/D180,0)</f>
        <v/>
      </c>
      <c r="J180" s="14">
        <f>IF(AND(G180&gt;0,E180&gt;0),H180*(G180-E180),0)</f>
        <v/>
      </c>
      <c r="M180" s="19" t="n"/>
      <c r="N180" s="15">
        <f>IF(AND(ISNUMBER(K180),ISNUMBER(A180)),NETWORKDAYS(A180,K180),0)</f>
        <v/>
      </c>
      <c r="O180" s="16">
        <f>IF(AND(ISNUMBER(M180),H180&gt;0),(M180-G180)*H180,0)</f>
        <v/>
      </c>
      <c r="P180" s="17">
        <f>IF(AND(ISNUMBER(M180),G180&gt;0),(M180-G180)/G180,0)</f>
        <v/>
      </c>
      <c r="Q180" s="18">
        <f>IF(J180&gt;0,O180/J180,0)</f>
        <v/>
      </c>
      <c r="R180" s="15">
        <f>IF(O180="","-",IF(O180&gt;0,"WIN",IF(O180&lt;0,"LOSS","FLAT")))</f>
        <v/>
      </c>
    </row>
    <row r="181">
      <c r="A181" s="8" t="inlineStr"/>
      <c r="B181" s="8" t="inlineStr"/>
      <c r="C181" s="9" t="inlineStr"/>
      <c r="D181" s="10" t="inlineStr"/>
      <c r="E181" s="10" t="inlineStr"/>
      <c r="F181" s="11" t="inlineStr"/>
      <c r="G181" s="10" t="inlineStr"/>
      <c r="H181" s="12">
        <f>IF(G181&gt;0,F181/G181,0)</f>
        <v/>
      </c>
      <c r="I181" s="13">
        <f>IF(G181&gt;0,(G181-D181)/D181,0)</f>
        <v/>
      </c>
      <c r="J181" s="14">
        <f>IF(AND(G181&gt;0,E181&gt;0),H181*(G181-E181),0)</f>
        <v/>
      </c>
      <c r="M181" s="19" t="n"/>
      <c r="N181" s="15">
        <f>IF(AND(ISNUMBER(K181),ISNUMBER(A181)),NETWORKDAYS(A181,K181),0)</f>
        <v/>
      </c>
      <c r="O181" s="16">
        <f>IF(AND(ISNUMBER(M181),H181&gt;0),(M181-G181)*H181,0)</f>
        <v/>
      </c>
      <c r="P181" s="17">
        <f>IF(AND(ISNUMBER(M181),G181&gt;0),(M181-G181)/G181,0)</f>
        <v/>
      </c>
      <c r="Q181" s="18">
        <f>IF(J181&gt;0,O181/J181,0)</f>
        <v/>
      </c>
      <c r="R181" s="15">
        <f>IF(O181="","-",IF(O181&gt;0,"WIN",IF(O181&lt;0,"LOSS","FLAT")))</f>
        <v/>
      </c>
    </row>
    <row r="182">
      <c r="A182" s="8" t="inlineStr"/>
      <c r="B182" s="8" t="inlineStr"/>
      <c r="C182" s="9" t="inlineStr"/>
      <c r="D182" s="10" t="inlineStr"/>
      <c r="E182" s="10" t="inlineStr"/>
      <c r="F182" s="11" t="inlineStr"/>
      <c r="G182" s="10" t="inlineStr"/>
      <c r="H182" s="12">
        <f>IF(G182&gt;0,F182/G182,0)</f>
        <v/>
      </c>
      <c r="I182" s="13">
        <f>IF(G182&gt;0,(G182-D182)/D182,0)</f>
        <v/>
      </c>
      <c r="J182" s="14">
        <f>IF(AND(G182&gt;0,E182&gt;0),H182*(G182-E182),0)</f>
        <v/>
      </c>
      <c r="M182" s="19" t="n"/>
      <c r="N182" s="15">
        <f>IF(AND(ISNUMBER(K182),ISNUMBER(A182)),NETWORKDAYS(A182,K182),0)</f>
        <v/>
      </c>
      <c r="O182" s="16">
        <f>IF(AND(ISNUMBER(M182),H182&gt;0),(M182-G182)*H182,0)</f>
        <v/>
      </c>
      <c r="P182" s="17">
        <f>IF(AND(ISNUMBER(M182),G182&gt;0),(M182-G182)/G182,0)</f>
        <v/>
      </c>
      <c r="Q182" s="18">
        <f>IF(J182&gt;0,O182/J182,0)</f>
        <v/>
      </c>
      <c r="R182" s="15">
        <f>IF(O182="","-",IF(O182&gt;0,"WIN",IF(O182&lt;0,"LOSS","FLAT")))</f>
        <v/>
      </c>
    </row>
    <row r="183">
      <c r="A183" s="8" t="inlineStr"/>
      <c r="B183" s="8" t="inlineStr"/>
      <c r="C183" s="9" t="inlineStr"/>
      <c r="D183" s="10" t="inlineStr"/>
      <c r="E183" s="10" t="inlineStr"/>
      <c r="F183" s="11" t="inlineStr"/>
      <c r="G183" s="10" t="inlineStr"/>
      <c r="H183" s="12">
        <f>IF(G183&gt;0,F183/G183,0)</f>
        <v/>
      </c>
      <c r="I183" s="13">
        <f>IF(G183&gt;0,(G183-D183)/D183,0)</f>
        <v/>
      </c>
      <c r="J183" s="14">
        <f>IF(AND(G183&gt;0,E183&gt;0),H183*(G183-E183),0)</f>
        <v/>
      </c>
      <c r="M183" s="19" t="n"/>
      <c r="N183" s="15">
        <f>IF(AND(ISNUMBER(K183),ISNUMBER(A183)),NETWORKDAYS(A183,K183),0)</f>
        <v/>
      </c>
      <c r="O183" s="16">
        <f>IF(AND(ISNUMBER(M183),H183&gt;0),(M183-G183)*H183,0)</f>
        <v/>
      </c>
      <c r="P183" s="17">
        <f>IF(AND(ISNUMBER(M183),G183&gt;0),(M183-G183)/G183,0)</f>
        <v/>
      </c>
      <c r="Q183" s="18">
        <f>IF(J183&gt;0,O183/J183,0)</f>
        <v/>
      </c>
      <c r="R183" s="15">
        <f>IF(O183="","-",IF(O183&gt;0,"WIN",IF(O183&lt;0,"LOSS","FLAT")))</f>
        <v/>
      </c>
    </row>
    <row r="184">
      <c r="A184" s="8" t="inlineStr"/>
      <c r="B184" s="8" t="inlineStr"/>
      <c r="C184" s="9" t="inlineStr"/>
      <c r="D184" s="10" t="inlineStr"/>
      <c r="E184" s="10" t="inlineStr"/>
      <c r="F184" s="11" t="inlineStr"/>
      <c r="G184" s="10" t="inlineStr"/>
      <c r="H184" s="12">
        <f>IF(G184&gt;0,F184/G184,0)</f>
        <v/>
      </c>
      <c r="I184" s="13">
        <f>IF(G184&gt;0,(G184-D184)/D184,0)</f>
        <v/>
      </c>
      <c r="J184" s="14">
        <f>IF(AND(G184&gt;0,E184&gt;0),H184*(G184-E184),0)</f>
        <v/>
      </c>
      <c r="M184" s="19" t="n"/>
      <c r="N184" s="15">
        <f>IF(AND(ISNUMBER(K184),ISNUMBER(A184)),NETWORKDAYS(A184,K184),0)</f>
        <v/>
      </c>
      <c r="O184" s="16">
        <f>IF(AND(ISNUMBER(M184),H184&gt;0),(M184-G184)*H184,0)</f>
        <v/>
      </c>
      <c r="P184" s="17">
        <f>IF(AND(ISNUMBER(M184),G184&gt;0),(M184-G184)/G184,0)</f>
        <v/>
      </c>
      <c r="Q184" s="18">
        <f>IF(J184&gt;0,O184/J184,0)</f>
        <v/>
      </c>
      <c r="R184" s="15">
        <f>IF(O184="","-",IF(O184&gt;0,"WIN",IF(O184&lt;0,"LOSS","FLAT")))</f>
        <v/>
      </c>
    </row>
    <row r="185">
      <c r="A185" s="8" t="inlineStr"/>
      <c r="B185" s="8" t="inlineStr"/>
      <c r="C185" s="9" t="inlineStr"/>
      <c r="D185" s="10" t="inlineStr"/>
      <c r="E185" s="10" t="inlineStr"/>
      <c r="F185" s="11" t="inlineStr"/>
      <c r="G185" s="10" t="inlineStr"/>
      <c r="H185" s="12">
        <f>IF(G185&gt;0,F185/G185,0)</f>
        <v/>
      </c>
      <c r="I185" s="13">
        <f>IF(G185&gt;0,(G185-D185)/D185,0)</f>
        <v/>
      </c>
      <c r="J185" s="14">
        <f>IF(AND(G185&gt;0,E185&gt;0),H185*(G185-E185),0)</f>
        <v/>
      </c>
      <c r="M185" s="19" t="n"/>
      <c r="N185" s="15">
        <f>IF(AND(ISNUMBER(K185),ISNUMBER(A185)),NETWORKDAYS(A185,K185),0)</f>
        <v/>
      </c>
      <c r="O185" s="16">
        <f>IF(AND(ISNUMBER(M185),H185&gt;0),(M185-G185)*H185,0)</f>
        <v/>
      </c>
      <c r="P185" s="17">
        <f>IF(AND(ISNUMBER(M185),G185&gt;0),(M185-G185)/G185,0)</f>
        <v/>
      </c>
      <c r="Q185" s="18">
        <f>IF(J185&gt;0,O185/J185,0)</f>
        <v/>
      </c>
      <c r="R185" s="15">
        <f>IF(O185="","-",IF(O185&gt;0,"WIN",IF(O185&lt;0,"LOSS","FLAT")))</f>
        <v/>
      </c>
    </row>
    <row r="186">
      <c r="A186" s="8" t="inlineStr"/>
      <c r="B186" s="8" t="inlineStr"/>
      <c r="C186" s="9" t="inlineStr"/>
      <c r="D186" s="10" t="inlineStr"/>
      <c r="E186" s="10" t="inlineStr"/>
      <c r="F186" s="11" t="inlineStr"/>
      <c r="G186" s="10" t="inlineStr"/>
      <c r="H186" s="12">
        <f>IF(G186&gt;0,F186/G186,0)</f>
        <v/>
      </c>
      <c r="I186" s="13">
        <f>IF(G186&gt;0,(G186-D186)/D186,0)</f>
        <v/>
      </c>
      <c r="J186" s="14">
        <f>IF(AND(G186&gt;0,E186&gt;0),H186*(G186-E186),0)</f>
        <v/>
      </c>
      <c r="M186" s="19" t="n"/>
      <c r="N186" s="15">
        <f>IF(AND(ISNUMBER(K186),ISNUMBER(A186)),NETWORKDAYS(A186,K186),0)</f>
        <v/>
      </c>
      <c r="O186" s="16">
        <f>IF(AND(ISNUMBER(M186),H186&gt;0),(M186-G186)*H186,0)</f>
        <v/>
      </c>
      <c r="P186" s="17">
        <f>IF(AND(ISNUMBER(M186),G186&gt;0),(M186-G186)/G186,0)</f>
        <v/>
      </c>
      <c r="Q186" s="18">
        <f>IF(J186&gt;0,O186/J186,0)</f>
        <v/>
      </c>
      <c r="R186" s="15">
        <f>IF(O186="","-",IF(O186&gt;0,"WIN",IF(O186&lt;0,"LOSS","FLAT")))</f>
        <v/>
      </c>
    </row>
    <row r="187">
      <c r="A187" s="8" t="inlineStr"/>
      <c r="B187" s="8" t="inlineStr"/>
      <c r="C187" s="9" t="inlineStr"/>
      <c r="D187" s="10" t="inlineStr"/>
      <c r="E187" s="10" t="inlineStr"/>
      <c r="F187" s="11" t="inlineStr"/>
      <c r="G187" s="10" t="inlineStr"/>
      <c r="H187" s="12">
        <f>IF(G187&gt;0,F187/G187,0)</f>
        <v/>
      </c>
      <c r="I187" s="13">
        <f>IF(G187&gt;0,(G187-D187)/D187,0)</f>
        <v/>
      </c>
      <c r="J187" s="14">
        <f>IF(AND(G187&gt;0,E187&gt;0),H187*(G187-E187),0)</f>
        <v/>
      </c>
      <c r="M187" s="19" t="n"/>
      <c r="N187" s="15">
        <f>IF(AND(ISNUMBER(K187),ISNUMBER(A187)),NETWORKDAYS(A187,K187),0)</f>
        <v/>
      </c>
      <c r="O187" s="16">
        <f>IF(AND(ISNUMBER(M187),H187&gt;0),(M187-G187)*H187,0)</f>
        <v/>
      </c>
      <c r="P187" s="17">
        <f>IF(AND(ISNUMBER(M187),G187&gt;0),(M187-G187)/G187,0)</f>
        <v/>
      </c>
      <c r="Q187" s="18">
        <f>IF(J187&gt;0,O187/J187,0)</f>
        <v/>
      </c>
      <c r="R187" s="15">
        <f>IF(O187="","-",IF(O187&gt;0,"WIN",IF(O187&lt;0,"LOSS","FLAT")))</f>
        <v/>
      </c>
    </row>
    <row r="188">
      <c r="A188" s="8" t="inlineStr"/>
      <c r="B188" s="8" t="inlineStr"/>
      <c r="C188" s="9" t="inlineStr"/>
      <c r="D188" s="10" t="inlineStr"/>
      <c r="E188" s="10" t="inlineStr"/>
      <c r="F188" s="11" t="inlineStr"/>
      <c r="G188" s="10" t="inlineStr"/>
      <c r="H188" s="12">
        <f>IF(G188&gt;0,F188/G188,0)</f>
        <v/>
      </c>
      <c r="I188" s="13">
        <f>IF(G188&gt;0,(G188-D188)/D188,0)</f>
        <v/>
      </c>
      <c r="J188" s="14">
        <f>IF(AND(G188&gt;0,E188&gt;0),H188*(G188-E188),0)</f>
        <v/>
      </c>
      <c r="M188" s="19" t="n"/>
      <c r="N188" s="15">
        <f>IF(AND(ISNUMBER(K188),ISNUMBER(A188)),NETWORKDAYS(A188,K188),0)</f>
        <v/>
      </c>
      <c r="O188" s="16">
        <f>IF(AND(ISNUMBER(M188),H188&gt;0),(M188-G188)*H188,0)</f>
        <v/>
      </c>
      <c r="P188" s="17">
        <f>IF(AND(ISNUMBER(M188),G188&gt;0),(M188-G188)/G188,0)</f>
        <v/>
      </c>
      <c r="Q188" s="18">
        <f>IF(J188&gt;0,O188/J188,0)</f>
        <v/>
      </c>
      <c r="R188" s="15">
        <f>IF(O188="","-",IF(O188&gt;0,"WIN",IF(O188&lt;0,"LOSS","FLAT")))</f>
        <v/>
      </c>
    </row>
    <row r="189">
      <c r="A189" s="8" t="inlineStr"/>
      <c r="B189" s="8" t="inlineStr"/>
      <c r="C189" s="9" t="inlineStr"/>
      <c r="D189" s="10" t="inlineStr"/>
      <c r="E189" s="10" t="inlineStr"/>
      <c r="F189" s="11" t="inlineStr"/>
      <c r="G189" s="10" t="inlineStr"/>
      <c r="H189" s="12">
        <f>IF(G189&gt;0,F189/G189,0)</f>
        <v/>
      </c>
      <c r="I189" s="13">
        <f>IF(G189&gt;0,(G189-D189)/D189,0)</f>
        <v/>
      </c>
      <c r="J189" s="14">
        <f>IF(AND(G189&gt;0,E189&gt;0),H189*(G189-E189),0)</f>
        <v/>
      </c>
      <c r="M189" s="19" t="n"/>
      <c r="N189" s="15">
        <f>IF(AND(ISNUMBER(K189),ISNUMBER(A189)),NETWORKDAYS(A189,K189),0)</f>
        <v/>
      </c>
      <c r="O189" s="16">
        <f>IF(AND(ISNUMBER(M189),H189&gt;0),(M189-G189)*H189,0)</f>
        <v/>
      </c>
      <c r="P189" s="17">
        <f>IF(AND(ISNUMBER(M189),G189&gt;0),(M189-G189)/G189,0)</f>
        <v/>
      </c>
      <c r="Q189" s="18">
        <f>IF(J189&gt;0,O189/J189,0)</f>
        <v/>
      </c>
      <c r="R189" s="15">
        <f>IF(O189="","-",IF(O189&gt;0,"WIN",IF(O189&lt;0,"LOSS","FLAT")))</f>
        <v/>
      </c>
    </row>
    <row r="190">
      <c r="A190" s="8" t="inlineStr"/>
      <c r="B190" s="8" t="inlineStr"/>
      <c r="C190" s="9" t="inlineStr"/>
      <c r="D190" s="10" t="inlineStr"/>
      <c r="E190" s="10" t="inlineStr"/>
      <c r="F190" s="11" t="inlineStr"/>
      <c r="G190" s="10" t="inlineStr"/>
      <c r="H190" s="12">
        <f>IF(G190&gt;0,F190/G190,0)</f>
        <v/>
      </c>
      <c r="I190" s="13">
        <f>IF(G190&gt;0,(G190-D190)/D190,0)</f>
        <v/>
      </c>
      <c r="J190" s="14">
        <f>IF(AND(G190&gt;0,E190&gt;0),H190*(G190-E190),0)</f>
        <v/>
      </c>
      <c r="M190" s="19" t="n"/>
      <c r="N190" s="15">
        <f>IF(AND(ISNUMBER(K190),ISNUMBER(A190)),NETWORKDAYS(A190,K190),0)</f>
        <v/>
      </c>
      <c r="O190" s="16">
        <f>IF(AND(ISNUMBER(M190),H190&gt;0),(M190-G190)*H190,0)</f>
        <v/>
      </c>
      <c r="P190" s="17">
        <f>IF(AND(ISNUMBER(M190),G190&gt;0),(M190-G190)/G190,0)</f>
        <v/>
      </c>
      <c r="Q190" s="18">
        <f>IF(J190&gt;0,O190/J190,0)</f>
        <v/>
      </c>
      <c r="R190" s="15">
        <f>IF(O190="","-",IF(O190&gt;0,"WIN",IF(O190&lt;0,"LOSS","FLAT")))</f>
        <v/>
      </c>
    </row>
    <row r="191">
      <c r="A191" s="8" t="inlineStr"/>
      <c r="B191" s="8" t="inlineStr"/>
      <c r="C191" s="9" t="inlineStr"/>
      <c r="D191" s="10" t="inlineStr"/>
      <c r="E191" s="10" t="inlineStr"/>
      <c r="F191" s="11" t="inlineStr"/>
      <c r="G191" s="10" t="inlineStr"/>
      <c r="H191" s="12">
        <f>IF(G191&gt;0,F191/G191,0)</f>
        <v/>
      </c>
      <c r="I191" s="13">
        <f>IF(G191&gt;0,(G191-D191)/D191,0)</f>
        <v/>
      </c>
      <c r="J191" s="14">
        <f>IF(AND(G191&gt;0,E191&gt;0),H191*(G191-E191),0)</f>
        <v/>
      </c>
      <c r="M191" s="19" t="n"/>
      <c r="N191" s="15">
        <f>IF(AND(ISNUMBER(K191),ISNUMBER(A191)),NETWORKDAYS(A191,K191),0)</f>
        <v/>
      </c>
      <c r="O191" s="16">
        <f>IF(AND(ISNUMBER(M191),H191&gt;0),(M191-G191)*H191,0)</f>
        <v/>
      </c>
      <c r="P191" s="17">
        <f>IF(AND(ISNUMBER(M191),G191&gt;0),(M191-G191)/G191,0)</f>
        <v/>
      </c>
      <c r="Q191" s="18">
        <f>IF(J191&gt;0,O191/J191,0)</f>
        <v/>
      </c>
      <c r="R191" s="15">
        <f>IF(O191="","-",IF(O191&gt;0,"WIN",IF(O191&lt;0,"LOSS","FLAT")))</f>
        <v/>
      </c>
    </row>
    <row r="192">
      <c r="A192" s="8" t="inlineStr"/>
      <c r="B192" s="8" t="inlineStr"/>
      <c r="C192" s="9" t="inlineStr"/>
      <c r="D192" s="10" t="inlineStr"/>
      <c r="E192" s="10" t="inlineStr"/>
      <c r="F192" s="11" t="inlineStr"/>
      <c r="G192" s="10" t="inlineStr"/>
      <c r="H192" s="12">
        <f>IF(G192&gt;0,F192/G192,0)</f>
        <v/>
      </c>
      <c r="I192" s="13">
        <f>IF(G192&gt;0,(G192-D192)/D192,0)</f>
        <v/>
      </c>
      <c r="J192" s="14">
        <f>IF(AND(G192&gt;0,E192&gt;0),H192*(G192-E192),0)</f>
        <v/>
      </c>
      <c r="M192" s="19" t="n"/>
      <c r="N192" s="15">
        <f>IF(AND(ISNUMBER(K192),ISNUMBER(A192)),NETWORKDAYS(A192,K192),0)</f>
        <v/>
      </c>
      <c r="O192" s="16">
        <f>IF(AND(ISNUMBER(M192),H192&gt;0),(M192-G192)*H192,0)</f>
        <v/>
      </c>
      <c r="P192" s="17">
        <f>IF(AND(ISNUMBER(M192),G192&gt;0),(M192-G192)/G192,0)</f>
        <v/>
      </c>
      <c r="Q192" s="18">
        <f>IF(J192&gt;0,O192/J192,0)</f>
        <v/>
      </c>
      <c r="R192" s="15">
        <f>IF(O192="","-",IF(O192&gt;0,"WIN",IF(O192&lt;0,"LOSS","FLAT")))</f>
        <v/>
      </c>
    </row>
    <row r="193">
      <c r="A193" s="8" t="inlineStr"/>
      <c r="B193" s="8" t="inlineStr"/>
      <c r="C193" s="9" t="inlineStr"/>
      <c r="D193" s="10" t="inlineStr"/>
      <c r="E193" s="10" t="inlineStr"/>
      <c r="F193" s="11" t="inlineStr"/>
      <c r="G193" s="10" t="inlineStr"/>
      <c r="H193" s="12">
        <f>IF(G193&gt;0,F193/G193,0)</f>
        <v/>
      </c>
      <c r="I193" s="13">
        <f>IF(G193&gt;0,(G193-D193)/D193,0)</f>
        <v/>
      </c>
      <c r="J193" s="14">
        <f>IF(AND(G193&gt;0,E193&gt;0),H193*(G193-E193),0)</f>
        <v/>
      </c>
      <c r="M193" s="19" t="n"/>
      <c r="N193" s="15">
        <f>IF(AND(ISNUMBER(K193),ISNUMBER(A193)),NETWORKDAYS(A193,K193),0)</f>
        <v/>
      </c>
      <c r="O193" s="16">
        <f>IF(AND(ISNUMBER(M193),H193&gt;0),(M193-G193)*H193,0)</f>
        <v/>
      </c>
      <c r="P193" s="17">
        <f>IF(AND(ISNUMBER(M193),G193&gt;0),(M193-G193)/G193,0)</f>
        <v/>
      </c>
      <c r="Q193" s="18">
        <f>IF(J193&gt;0,O193/J193,0)</f>
        <v/>
      </c>
      <c r="R193" s="15">
        <f>IF(O193="","-",IF(O193&gt;0,"WIN",IF(O193&lt;0,"LOSS","FLAT")))</f>
        <v/>
      </c>
    </row>
    <row r="194">
      <c r="A194" s="8" t="inlineStr"/>
      <c r="B194" s="8" t="inlineStr"/>
      <c r="C194" s="9" t="inlineStr"/>
      <c r="D194" s="10" t="inlineStr"/>
      <c r="E194" s="10" t="inlineStr"/>
      <c r="F194" s="11" t="inlineStr"/>
      <c r="G194" s="10" t="inlineStr"/>
      <c r="H194" s="12">
        <f>IF(G194&gt;0,F194/G194,0)</f>
        <v/>
      </c>
      <c r="I194" s="13">
        <f>IF(G194&gt;0,(G194-D194)/D194,0)</f>
        <v/>
      </c>
      <c r="J194" s="14">
        <f>IF(AND(G194&gt;0,E194&gt;0),H194*(G194-E194),0)</f>
        <v/>
      </c>
      <c r="M194" s="19" t="n"/>
      <c r="N194" s="15">
        <f>IF(AND(ISNUMBER(K194),ISNUMBER(A194)),NETWORKDAYS(A194,K194),0)</f>
        <v/>
      </c>
      <c r="O194" s="16">
        <f>IF(AND(ISNUMBER(M194),H194&gt;0),(M194-G194)*H194,0)</f>
        <v/>
      </c>
      <c r="P194" s="17">
        <f>IF(AND(ISNUMBER(M194),G194&gt;0),(M194-G194)/G194,0)</f>
        <v/>
      </c>
      <c r="Q194" s="18">
        <f>IF(J194&gt;0,O194/J194,0)</f>
        <v/>
      </c>
      <c r="R194" s="15">
        <f>IF(O194="","-",IF(O194&gt;0,"WIN",IF(O194&lt;0,"LOSS","FLAT")))</f>
        <v/>
      </c>
    </row>
    <row r="195">
      <c r="A195" s="8" t="inlineStr"/>
      <c r="B195" s="8" t="inlineStr"/>
      <c r="C195" s="9" t="inlineStr"/>
      <c r="D195" s="10" t="inlineStr"/>
      <c r="E195" s="10" t="inlineStr"/>
      <c r="F195" s="11" t="inlineStr"/>
      <c r="G195" s="10" t="inlineStr"/>
      <c r="H195" s="12">
        <f>IF(G195&gt;0,F195/G195,0)</f>
        <v/>
      </c>
      <c r="I195" s="13">
        <f>IF(G195&gt;0,(G195-D195)/D195,0)</f>
        <v/>
      </c>
      <c r="J195" s="14">
        <f>IF(AND(G195&gt;0,E195&gt;0),H195*(G195-E195),0)</f>
        <v/>
      </c>
      <c r="M195" s="19" t="n"/>
      <c r="N195" s="15">
        <f>IF(AND(ISNUMBER(K195),ISNUMBER(A195)),NETWORKDAYS(A195,K195),0)</f>
        <v/>
      </c>
      <c r="O195" s="16">
        <f>IF(AND(ISNUMBER(M195),H195&gt;0),(M195-G195)*H195,0)</f>
        <v/>
      </c>
      <c r="P195" s="17">
        <f>IF(AND(ISNUMBER(M195),G195&gt;0),(M195-G195)/G195,0)</f>
        <v/>
      </c>
      <c r="Q195" s="18">
        <f>IF(J195&gt;0,O195/J195,0)</f>
        <v/>
      </c>
      <c r="R195" s="15">
        <f>IF(O195="","-",IF(O195&gt;0,"WIN",IF(O195&lt;0,"LOSS","FLAT")))</f>
        <v/>
      </c>
    </row>
    <row r="196">
      <c r="A196" s="8" t="inlineStr"/>
      <c r="B196" s="8" t="inlineStr"/>
      <c r="C196" s="9" t="inlineStr"/>
      <c r="D196" s="10" t="inlineStr"/>
      <c r="E196" s="10" t="inlineStr"/>
      <c r="F196" s="11" t="inlineStr"/>
      <c r="G196" s="10" t="inlineStr"/>
      <c r="H196" s="12">
        <f>IF(G196&gt;0,F196/G196,0)</f>
        <v/>
      </c>
      <c r="I196" s="13">
        <f>IF(G196&gt;0,(G196-D196)/D196,0)</f>
        <v/>
      </c>
      <c r="J196" s="14">
        <f>IF(AND(G196&gt;0,E196&gt;0),H196*(G196-E196),0)</f>
        <v/>
      </c>
      <c r="M196" s="19" t="n"/>
      <c r="N196" s="15">
        <f>IF(AND(ISNUMBER(K196),ISNUMBER(A196)),NETWORKDAYS(A196,K196),0)</f>
        <v/>
      </c>
      <c r="O196" s="16">
        <f>IF(AND(ISNUMBER(M196),H196&gt;0),(M196-G196)*H196,0)</f>
        <v/>
      </c>
      <c r="P196" s="17">
        <f>IF(AND(ISNUMBER(M196),G196&gt;0),(M196-G196)/G196,0)</f>
        <v/>
      </c>
      <c r="Q196" s="18">
        <f>IF(J196&gt;0,O196/J196,0)</f>
        <v/>
      </c>
      <c r="R196" s="15">
        <f>IF(O196="","-",IF(O196&gt;0,"WIN",IF(O196&lt;0,"LOSS","FLAT")))</f>
        <v/>
      </c>
    </row>
    <row r="197">
      <c r="A197" s="8" t="inlineStr"/>
      <c r="B197" s="8" t="inlineStr"/>
      <c r="C197" s="9" t="inlineStr"/>
      <c r="D197" s="10" t="inlineStr"/>
      <c r="E197" s="10" t="inlineStr"/>
      <c r="F197" s="11" t="inlineStr"/>
      <c r="G197" s="10" t="inlineStr"/>
      <c r="H197" s="12">
        <f>IF(G197&gt;0,F197/G197,0)</f>
        <v/>
      </c>
      <c r="I197" s="13">
        <f>IF(G197&gt;0,(G197-D197)/D197,0)</f>
        <v/>
      </c>
      <c r="J197" s="14">
        <f>IF(AND(G197&gt;0,E197&gt;0),H197*(G197-E197),0)</f>
        <v/>
      </c>
      <c r="M197" s="19" t="n"/>
      <c r="N197" s="15">
        <f>IF(AND(ISNUMBER(K197),ISNUMBER(A197)),NETWORKDAYS(A197,K197),0)</f>
        <v/>
      </c>
      <c r="O197" s="16">
        <f>IF(AND(ISNUMBER(M197),H197&gt;0),(M197-G197)*H197,0)</f>
        <v/>
      </c>
      <c r="P197" s="17">
        <f>IF(AND(ISNUMBER(M197),G197&gt;0),(M197-G197)/G197,0)</f>
        <v/>
      </c>
      <c r="Q197" s="18">
        <f>IF(J197&gt;0,O197/J197,0)</f>
        <v/>
      </c>
      <c r="R197" s="15">
        <f>IF(O197="","-",IF(O197&gt;0,"WIN",IF(O197&lt;0,"LOSS","FLAT")))</f>
        <v/>
      </c>
    </row>
    <row r="198">
      <c r="A198" s="8" t="inlineStr"/>
      <c r="B198" s="8" t="inlineStr"/>
      <c r="C198" s="9" t="inlineStr"/>
      <c r="D198" s="10" t="inlineStr"/>
      <c r="E198" s="10" t="inlineStr"/>
      <c r="F198" s="11" t="inlineStr"/>
      <c r="G198" s="10" t="inlineStr"/>
      <c r="H198" s="12">
        <f>IF(G198&gt;0,F198/G198,0)</f>
        <v/>
      </c>
      <c r="I198" s="13">
        <f>IF(G198&gt;0,(G198-D198)/D198,0)</f>
        <v/>
      </c>
      <c r="J198" s="14">
        <f>IF(AND(G198&gt;0,E198&gt;0),H198*(G198-E198),0)</f>
        <v/>
      </c>
      <c r="M198" s="19" t="n"/>
      <c r="N198" s="15">
        <f>IF(AND(ISNUMBER(K198),ISNUMBER(A198)),NETWORKDAYS(A198,K198),0)</f>
        <v/>
      </c>
      <c r="O198" s="16">
        <f>IF(AND(ISNUMBER(M198),H198&gt;0),(M198-G198)*H198,0)</f>
        <v/>
      </c>
      <c r="P198" s="17">
        <f>IF(AND(ISNUMBER(M198),G198&gt;0),(M198-G198)/G198,0)</f>
        <v/>
      </c>
      <c r="Q198" s="18">
        <f>IF(J198&gt;0,O198/J198,0)</f>
        <v/>
      </c>
      <c r="R198" s="15">
        <f>IF(O198="","-",IF(O198&gt;0,"WIN",IF(O198&lt;0,"LOSS","FLAT")))</f>
        <v/>
      </c>
    </row>
    <row r="199">
      <c r="A199" s="8" t="inlineStr"/>
      <c r="B199" s="8" t="inlineStr"/>
      <c r="C199" s="9" t="inlineStr"/>
      <c r="D199" s="10" t="inlineStr"/>
      <c r="E199" s="10" t="inlineStr"/>
      <c r="F199" s="11" t="inlineStr"/>
      <c r="G199" s="10" t="inlineStr"/>
      <c r="H199" s="12">
        <f>IF(G199&gt;0,F199/G199,0)</f>
        <v/>
      </c>
      <c r="I199" s="13">
        <f>IF(G199&gt;0,(G199-D199)/D199,0)</f>
        <v/>
      </c>
      <c r="J199" s="14">
        <f>IF(AND(G199&gt;0,E199&gt;0),H199*(G199-E199),0)</f>
        <v/>
      </c>
      <c r="M199" s="19" t="n"/>
      <c r="N199" s="15">
        <f>IF(AND(ISNUMBER(K199),ISNUMBER(A199)),NETWORKDAYS(A199,K199),0)</f>
        <v/>
      </c>
      <c r="O199" s="16">
        <f>IF(AND(ISNUMBER(M199),H199&gt;0),(M199-G199)*H199,0)</f>
        <v/>
      </c>
      <c r="P199" s="17">
        <f>IF(AND(ISNUMBER(M199),G199&gt;0),(M199-G199)/G199,0)</f>
        <v/>
      </c>
      <c r="Q199" s="18">
        <f>IF(J199&gt;0,O199/J199,0)</f>
        <v/>
      </c>
      <c r="R199" s="15">
        <f>IF(O199="","-",IF(O199&gt;0,"WIN",IF(O199&lt;0,"LOSS","FLAT")))</f>
        <v/>
      </c>
    </row>
    <row r="200">
      <c r="A200" s="8" t="inlineStr"/>
      <c r="B200" s="8" t="inlineStr"/>
      <c r="C200" s="9" t="inlineStr"/>
      <c r="D200" s="10" t="inlineStr"/>
      <c r="E200" s="10" t="inlineStr"/>
      <c r="F200" s="11" t="inlineStr"/>
      <c r="G200" s="10" t="inlineStr"/>
      <c r="H200" s="12">
        <f>IF(G200&gt;0,F200/G200,0)</f>
        <v/>
      </c>
      <c r="I200" s="13">
        <f>IF(G200&gt;0,(G200-D200)/D200,0)</f>
        <v/>
      </c>
      <c r="J200" s="14">
        <f>IF(AND(G200&gt;0,E200&gt;0),H200*(G200-E200),0)</f>
        <v/>
      </c>
      <c r="M200" s="19" t="n"/>
      <c r="N200" s="15">
        <f>IF(AND(ISNUMBER(K200),ISNUMBER(A200)),NETWORKDAYS(A200,K200),0)</f>
        <v/>
      </c>
      <c r="O200" s="16">
        <f>IF(AND(ISNUMBER(M200),H200&gt;0),(M200-G200)*H200,0)</f>
        <v/>
      </c>
      <c r="P200" s="17">
        <f>IF(AND(ISNUMBER(M200),G200&gt;0),(M200-G200)/G200,0)</f>
        <v/>
      </c>
      <c r="Q200" s="18">
        <f>IF(J200&gt;0,O200/J200,0)</f>
        <v/>
      </c>
      <c r="R200" s="15">
        <f>IF(O200="","-",IF(O200&gt;0,"WIN",IF(O200&lt;0,"LOSS","FLAT")))</f>
        <v/>
      </c>
    </row>
  </sheetData>
  <conditionalFormatting sqref="R2:R200">
    <cfRule type="cellIs" priority="1" operator="equal" dxfId="0">
      <formula>"WIN"</formula>
    </cfRule>
    <cfRule type="cellIs" priority="2" operator="equal" dxfId="1">
      <formula>"LOSS"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8" customWidth="1" min="4" max="4"/>
    <col width="8" customWidth="1" min="5" max="5"/>
    <col width="12" customWidth="1" min="6" max="6"/>
    <col width="11" customWidth="1" min="7" max="7"/>
    <col width="13" customWidth="1" min="8" max="8"/>
    <col width="13" customWidth="1" min="9" max="9"/>
    <col width="30" customWidth="1" min="10" max="10"/>
  </cols>
  <sheetData>
    <row r="1" ht="30" customHeight="1">
      <c r="A1" s="20" t="inlineStr">
        <is>
          <t>Week #</t>
        </is>
      </c>
      <c r="B1" s="20" t="inlineStr">
        <is>
          <t>Mon Signal Date</t>
        </is>
      </c>
      <c r="C1" s="20" t="inlineStr">
        <is>
          <t>Trades Placed</t>
        </is>
      </c>
      <c r="D1" s="20" t="inlineStr">
        <is>
          <t>Wins</t>
        </is>
      </c>
      <c r="E1" s="20" t="inlineStr">
        <is>
          <t>Losses</t>
        </is>
      </c>
      <c r="F1" s="20" t="inlineStr">
        <is>
          <t>Stopped Out</t>
        </is>
      </c>
      <c r="G1" s="20" t="inlineStr">
        <is>
          <t>Avg P&amp;L %</t>
        </is>
      </c>
      <c r="H1" s="20" t="inlineStr">
        <is>
          <t>Total P&amp;L ₹</t>
        </is>
      </c>
      <c r="I1" s="20" t="inlineStr">
        <is>
          <t>Cum P&amp;L ₹</t>
        </is>
      </c>
      <c r="J1" s="20" t="inlineStr">
        <is>
          <t>Comments</t>
        </is>
      </c>
    </row>
    <row r="2">
      <c r="A2" s="15" t="n">
        <v>1</v>
      </c>
      <c r="B2" s="8" t="inlineStr">
        <is>
          <t>2026-06-08</t>
        </is>
      </c>
      <c r="C2" s="15">
        <f>COUNTIFS('Trade Log'!A:A,B2,'Trade Log'!B:B,"&lt;&gt;")</f>
        <v/>
      </c>
      <c r="D2" s="15">
        <f>COUNTIFS('Trade Log'!A:A,B2,'Trade Log'!R:R,"WIN")</f>
        <v/>
      </c>
      <c r="E2" s="15">
        <f>COUNTIFS('Trade Log'!A:A,B2,'Trade Log'!R:R,"LOSS")</f>
        <v/>
      </c>
      <c r="F2" s="15">
        <f>COUNTIFS('Trade Log'!A:A,B2,'Trade Log'!L:L,"STOP")</f>
        <v/>
      </c>
      <c r="G2" s="17">
        <f>IFERROR(AVERAGEIFS('Trade Log'!P:P,'Trade Log'!A:A,B2,'Trade Log'!P:P,"&lt;&gt;0"),0)</f>
        <v/>
      </c>
      <c r="H2" s="16">
        <f>SUMIFS('Trade Log'!O:O,'Trade Log'!A:A,B2)</f>
        <v/>
      </c>
      <c r="I2" s="16">
        <f>IF(A2=1,H2,I1+H2)</f>
        <v/>
      </c>
      <c r="J2" s="8" t="inlineStr"/>
    </row>
    <row r="3">
      <c r="A3" s="15" t="n">
        <v>2</v>
      </c>
      <c r="B3" s="8" t="inlineStr">
        <is>
          <t>2026-06-15</t>
        </is>
      </c>
      <c r="C3" s="15">
        <f>COUNTIFS('Trade Log'!A:A,B3,'Trade Log'!B:B,"&lt;&gt;")</f>
        <v/>
      </c>
      <c r="D3" s="15">
        <f>COUNTIFS('Trade Log'!A:A,B3,'Trade Log'!R:R,"WIN")</f>
        <v/>
      </c>
      <c r="E3" s="15">
        <f>COUNTIFS('Trade Log'!A:A,B3,'Trade Log'!R:R,"LOSS")</f>
        <v/>
      </c>
      <c r="F3" s="15">
        <f>COUNTIFS('Trade Log'!A:A,B3,'Trade Log'!L:L,"STOP")</f>
        <v/>
      </c>
      <c r="G3" s="17">
        <f>IFERROR(AVERAGEIFS('Trade Log'!P:P,'Trade Log'!A:A,B3,'Trade Log'!P:P,"&lt;&gt;0"),0)</f>
        <v/>
      </c>
      <c r="H3" s="16">
        <f>SUMIFS('Trade Log'!O:O,'Trade Log'!A:A,B3)</f>
        <v/>
      </c>
      <c r="I3" s="16">
        <f>IF(A3=1,H3,I2+H3)</f>
        <v/>
      </c>
      <c r="J3" s="8" t="inlineStr"/>
    </row>
    <row r="4">
      <c r="A4" s="15" t="n">
        <v>3</v>
      </c>
      <c r="B4" s="8" t="inlineStr">
        <is>
          <t>2026-06-22</t>
        </is>
      </c>
      <c r="C4" s="15">
        <f>COUNTIFS('Trade Log'!A:A,B4,'Trade Log'!B:B,"&lt;&gt;")</f>
        <v/>
      </c>
      <c r="D4" s="15">
        <f>COUNTIFS('Trade Log'!A:A,B4,'Trade Log'!R:R,"WIN")</f>
        <v/>
      </c>
      <c r="E4" s="15">
        <f>COUNTIFS('Trade Log'!A:A,B4,'Trade Log'!R:R,"LOSS")</f>
        <v/>
      </c>
      <c r="F4" s="15">
        <f>COUNTIFS('Trade Log'!A:A,B4,'Trade Log'!L:L,"STOP")</f>
        <v/>
      </c>
      <c r="G4" s="17">
        <f>IFERROR(AVERAGEIFS('Trade Log'!P:P,'Trade Log'!A:A,B4,'Trade Log'!P:P,"&lt;&gt;0"),0)</f>
        <v/>
      </c>
      <c r="H4" s="16">
        <f>SUMIFS('Trade Log'!O:O,'Trade Log'!A:A,B4)</f>
        <v/>
      </c>
      <c r="I4" s="16">
        <f>IF(A4=1,H4,I3+H4)</f>
        <v/>
      </c>
      <c r="J4" s="8" t="inlineStr"/>
    </row>
    <row r="5">
      <c r="A5" s="15" t="n">
        <v>4</v>
      </c>
      <c r="B5" s="8" t="inlineStr">
        <is>
          <t>2026-06-29</t>
        </is>
      </c>
      <c r="C5" s="15">
        <f>COUNTIFS('Trade Log'!A:A,B5,'Trade Log'!B:B,"&lt;&gt;")</f>
        <v/>
      </c>
      <c r="D5" s="15">
        <f>COUNTIFS('Trade Log'!A:A,B5,'Trade Log'!R:R,"WIN")</f>
        <v/>
      </c>
      <c r="E5" s="15">
        <f>COUNTIFS('Trade Log'!A:A,B5,'Trade Log'!R:R,"LOSS")</f>
        <v/>
      </c>
      <c r="F5" s="15">
        <f>COUNTIFS('Trade Log'!A:A,B5,'Trade Log'!L:L,"STOP")</f>
        <v/>
      </c>
      <c r="G5" s="17">
        <f>IFERROR(AVERAGEIFS('Trade Log'!P:P,'Trade Log'!A:A,B5,'Trade Log'!P:P,"&lt;&gt;0"),0)</f>
        <v/>
      </c>
      <c r="H5" s="16">
        <f>SUMIFS('Trade Log'!O:O,'Trade Log'!A:A,B5)</f>
        <v/>
      </c>
      <c r="I5" s="16">
        <f>IF(A5=1,H5,I4+H5)</f>
        <v/>
      </c>
      <c r="J5" s="8" t="inlineStr"/>
    </row>
    <row r="6">
      <c r="A6" s="15" t="n">
        <v>5</v>
      </c>
      <c r="B6" s="8" t="inlineStr">
        <is>
          <t>2026-07-06</t>
        </is>
      </c>
      <c r="C6" s="15">
        <f>COUNTIFS('Trade Log'!A:A,B6,'Trade Log'!B:B,"&lt;&gt;")</f>
        <v/>
      </c>
      <c r="D6" s="15">
        <f>COUNTIFS('Trade Log'!A:A,B6,'Trade Log'!R:R,"WIN")</f>
        <v/>
      </c>
      <c r="E6" s="15">
        <f>COUNTIFS('Trade Log'!A:A,B6,'Trade Log'!R:R,"LOSS")</f>
        <v/>
      </c>
      <c r="F6" s="15">
        <f>COUNTIFS('Trade Log'!A:A,B6,'Trade Log'!L:L,"STOP")</f>
        <v/>
      </c>
      <c r="G6" s="17">
        <f>IFERROR(AVERAGEIFS('Trade Log'!P:P,'Trade Log'!A:A,B6,'Trade Log'!P:P,"&lt;&gt;0"),0)</f>
        <v/>
      </c>
      <c r="H6" s="16">
        <f>SUMIFS('Trade Log'!O:O,'Trade Log'!A:A,B6)</f>
        <v/>
      </c>
      <c r="I6" s="16">
        <f>IF(A6=1,H6,I5+H6)</f>
        <v/>
      </c>
      <c r="J6" s="8" t="inlineStr"/>
    </row>
    <row r="7">
      <c r="A7" s="15" t="n">
        <v>6</v>
      </c>
      <c r="B7" s="8" t="inlineStr">
        <is>
          <t>2026-07-13</t>
        </is>
      </c>
      <c r="C7" s="15">
        <f>COUNTIFS('Trade Log'!A:A,B7,'Trade Log'!B:B,"&lt;&gt;")</f>
        <v/>
      </c>
      <c r="D7" s="15">
        <f>COUNTIFS('Trade Log'!A:A,B7,'Trade Log'!R:R,"WIN")</f>
        <v/>
      </c>
      <c r="E7" s="15">
        <f>COUNTIFS('Trade Log'!A:A,B7,'Trade Log'!R:R,"LOSS")</f>
        <v/>
      </c>
      <c r="F7" s="15">
        <f>COUNTIFS('Trade Log'!A:A,B7,'Trade Log'!L:L,"STOP")</f>
        <v/>
      </c>
      <c r="G7" s="17">
        <f>IFERROR(AVERAGEIFS('Trade Log'!P:P,'Trade Log'!A:A,B7,'Trade Log'!P:P,"&lt;&gt;0"),0)</f>
        <v/>
      </c>
      <c r="H7" s="16">
        <f>SUMIFS('Trade Log'!O:O,'Trade Log'!A:A,B7)</f>
        <v/>
      </c>
      <c r="I7" s="16">
        <f>IF(A7=1,H7,I6+H7)</f>
        <v/>
      </c>
      <c r="J7" s="8" t="inlineStr"/>
    </row>
    <row r="8">
      <c r="A8" s="15" t="n">
        <v>7</v>
      </c>
      <c r="B8" s="8" t="inlineStr">
        <is>
          <t>2026-07-20</t>
        </is>
      </c>
      <c r="C8" s="15">
        <f>COUNTIFS('Trade Log'!A:A,B8,'Trade Log'!B:B,"&lt;&gt;")</f>
        <v/>
      </c>
      <c r="D8" s="15">
        <f>COUNTIFS('Trade Log'!A:A,B8,'Trade Log'!R:R,"WIN")</f>
        <v/>
      </c>
      <c r="E8" s="15">
        <f>COUNTIFS('Trade Log'!A:A,B8,'Trade Log'!R:R,"LOSS")</f>
        <v/>
      </c>
      <c r="F8" s="15">
        <f>COUNTIFS('Trade Log'!A:A,B8,'Trade Log'!L:L,"STOP")</f>
        <v/>
      </c>
      <c r="G8" s="17">
        <f>IFERROR(AVERAGEIFS('Trade Log'!P:P,'Trade Log'!A:A,B8,'Trade Log'!P:P,"&lt;&gt;0"),0)</f>
        <v/>
      </c>
      <c r="H8" s="16">
        <f>SUMIFS('Trade Log'!O:O,'Trade Log'!A:A,B8)</f>
        <v/>
      </c>
      <c r="I8" s="16">
        <f>IF(A8=1,H8,I7+H8)</f>
        <v/>
      </c>
      <c r="J8" s="8" t="inlineStr"/>
    </row>
    <row r="9">
      <c r="A9" s="15" t="n">
        <v>8</v>
      </c>
      <c r="B9" s="8" t="inlineStr">
        <is>
          <t>2026-07-27</t>
        </is>
      </c>
      <c r="C9" s="15">
        <f>COUNTIFS('Trade Log'!A:A,B9,'Trade Log'!B:B,"&lt;&gt;")</f>
        <v/>
      </c>
      <c r="D9" s="15">
        <f>COUNTIFS('Trade Log'!A:A,B9,'Trade Log'!R:R,"WIN")</f>
        <v/>
      </c>
      <c r="E9" s="15">
        <f>COUNTIFS('Trade Log'!A:A,B9,'Trade Log'!R:R,"LOSS")</f>
        <v/>
      </c>
      <c r="F9" s="15">
        <f>COUNTIFS('Trade Log'!A:A,B9,'Trade Log'!L:L,"STOP")</f>
        <v/>
      </c>
      <c r="G9" s="17">
        <f>IFERROR(AVERAGEIFS('Trade Log'!P:P,'Trade Log'!A:A,B9,'Trade Log'!P:P,"&lt;&gt;0"),0)</f>
        <v/>
      </c>
      <c r="H9" s="16">
        <f>SUMIFS('Trade Log'!O:O,'Trade Log'!A:A,B9)</f>
        <v/>
      </c>
      <c r="I9" s="16">
        <f>IF(A9=1,H9,I8+H9)</f>
        <v/>
      </c>
      <c r="J9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18" customWidth="1" min="4" max="4"/>
    <col width="18" customWidth="1" min="5" max="5"/>
  </cols>
  <sheetData>
    <row r="1">
      <c r="A1" s="21" t="inlineStr">
        <is>
          <t>8-WEEK PAPER TRADE VERDICT</t>
        </is>
      </c>
    </row>
    <row r="3">
      <c r="A3" s="22" t="inlineStr">
        <is>
          <t>METRIC</t>
        </is>
      </c>
      <c r="B3" s="22" t="inlineStr">
        <is>
          <t>VALUE</t>
        </is>
      </c>
      <c r="C3" s="22" t="inlineStr">
        <is>
          <t>THRESHOLD</t>
        </is>
      </c>
      <c r="D3" s="22" t="inlineStr">
        <is>
          <t>PASS?</t>
        </is>
      </c>
      <c r="E3" s="22" t="inlineStr">
        <is>
          <t>WEIGHT</t>
        </is>
      </c>
    </row>
    <row r="4">
      <c r="A4" s="23" t="inlineStr">
        <is>
          <t>Total trades placed</t>
        </is>
      </c>
      <c r="B4" s="24">
        <f>SUMPRODUCT(--('Trade Log'!B2:B200&lt;&gt;""))</f>
        <v/>
      </c>
      <c r="C4" s="25" t="inlineStr">
        <is>
          <t>&gt;=80</t>
        </is>
      </c>
      <c r="D4" s="25">
        <f>IF(B3&gt;=80,"PASS","FAIL")</f>
        <v/>
      </c>
      <c r="E4" s="25" t="inlineStr">
        <is>
          <t>Critical</t>
        </is>
      </c>
    </row>
    <row r="5">
      <c r="A5" s="23" t="inlineStr">
        <is>
          <t>Total realized P&amp;L (₹)</t>
        </is>
      </c>
      <c r="B5" s="26">
        <f>SUM('Trade Log'!O2:O200)</f>
        <v/>
      </c>
      <c r="C5" s="25" t="inlineStr">
        <is>
          <t>Track only</t>
        </is>
      </c>
      <c r="D5" s="25" t="inlineStr">
        <is>
          <t>—</t>
        </is>
      </c>
      <c r="E5" s="25" t="inlineStr">
        <is>
          <t>—</t>
        </is>
      </c>
    </row>
    <row r="6">
      <c r="A6" s="23" t="inlineStr">
        <is>
          <t>Total return % (on ₹2L portfolio)</t>
        </is>
      </c>
      <c r="B6" s="27">
        <f>B4/200000</f>
        <v/>
      </c>
      <c r="C6" s="25" t="inlineStr">
        <is>
          <t>&gt;=Benchmark - 3%</t>
        </is>
      </c>
      <c r="D6" s="25" t="inlineStr">
        <is>
          <t>Compare manually</t>
        </is>
      </c>
      <c r="E6" s="25" t="inlineStr">
        <is>
          <t>Critical</t>
        </is>
      </c>
    </row>
    <row r="7">
      <c r="A7" s="23" t="inlineStr">
        <is>
          <t>Win rate %</t>
        </is>
      </c>
      <c r="B7" s="24">
        <f>IFERROR(COUNTIF('Trade Log'!R2:R200,"WIN")/(COUNTIF('Trade Log'!R2:R200,"WIN")+COUNTIF('Trade Log'!R2:R200,"LOSS")),0)</f>
        <v/>
      </c>
      <c r="C7" s="25" t="inlineStr">
        <is>
          <t>&gt;=45%</t>
        </is>
      </c>
      <c r="D7" s="25">
        <f>IF(B5&gt;=0.45,"PASS","FAIL")</f>
        <v/>
      </c>
      <c r="E7" s="25" t="inlineStr">
        <is>
          <t>Critical</t>
        </is>
      </c>
    </row>
    <row r="8">
      <c r="A8" s="23" t="inlineStr">
        <is>
          <t>Max single-trade loss (₹)</t>
        </is>
      </c>
      <c r="B8" s="27">
        <f>MIN('Trade Log'!O2:O200)</f>
        <v/>
      </c>
      <c r="C8" s="25" t="inlineStr">
        <is>
          <t>&gt;-₹2,500</t>
        </is>
      </c>
      <c r="D8" s="25">
        <f>IF(B6&gt;-2500,"PASS","FAIL")</f>
        <v/>
      </c>
      <c r="E8" s="25" t="inlineStr">
        <is>
          <t>Risk control</t>
        </is>
      </c>
    </row>
    <row r="9">
      <c r="A9" s="23" t="inlineStr">
        <is>
          <t>Stop-loss hit rate %</t>
        </is>
      </c>
      <c r="B9" s="28">
        <f>IFERROR(COUNTIF('Trade Log'!L2:L200,"STOP")/COUNTIF('Trade Log'!L2:L200,"&lt;&gt;"),0)</f>
        <v/>
      </c>
      <c r="C9" s="25" t="inlineStr">
        <is>
          <t>20%-50%</t>
        </is>
      </c>
      <c r="D9" s="25">
        <f>IF(AND(B7&gt;=0.2,B7&lt;=0.5),"PASS","WATCH")</f>
        <v/>
      </c>
      <c r="E9" s="25" t="inlineStr">
        <is>
          <t>Diagnostic</t>
        </is>
      </c>
    </row>
    <row r="10">
      <c r="A10" s="23" t="inlineStr">
        <is>
          <t>Avg slippage per side %</t>
        </is>
      </c>
      <c r="B10" s="29">
        <f>IFERROR(AVERAGEIFS('Trade Log'!I2:I200,'Trade Log'!I2:I200,"&lt;&gt;0"),0)</f>
        <v/>
      </c>
      <c r="C10" s="25" t="inlineStr">
        <is>
          <t>&lt;0.4%</t>
        </is>
      </c>
      <c r="D10" s="25">
        <f>IF(ABS(B8)&lt;0.004,"PASS","FAIL")</f>
        <v/>
      </c>
      <c r="E10" s="25" t="inlineStr">
        <is>
          <t>Execution quality</t>
        </is>
      </c>
    </row>
    <row r="11">
      <c r="A11" s="23" t="inlineStr">
        <is>
          <t>Avg R-multiple per trade</t>
        </is>
      </c>
      <c r="B11" s="25">
        <f>IFERROR(AVERAGEIFS('Trade Log'!Q2:Q200,'Trade Log'!Q2:Q200,"&lt;&gt;0"),0)</f>
        <v/>
      </c>
      <c r="C11" s="25" t="inlineStr">
        <is>
          <t>&gt;=0.2R</t>
        </is>
      </c>
      <c r="D11" s="25">
        <f>IF(B9&gt;=0.2,"PASS","WATCH")</f>
        <v/>
      </c>
      <c r="E11" s="25" t="inlineStr">
        <is>
          <t>Edge quality</t>
        </is>
      </c>
    </row>
    <row r="14">
      <c r="A14" s="30" t="inlineStr">
        <is>
          <t>FINAL DECISION</t>
        </is>
      </c>
    </row>
    <row r="15">
      <c r="A15" s="31" t="inlineStr">
        <is>
          <t>If all 'Critical' rows PASS and Total return ≥ Benchmark - 3pp, deploy ₹50,000 starter capital.</t>
        </is>
      </c>
    </row>
    <row r="16">
      <c r="A16" s="31" t="inlineStr">
        <is>
          <t>If any 'Critical' fails OR Total return &lt; Benchmark - 3pp, do NOT deploy. Stay in paper for 4 more weeks.</t>
        </is>
      </c>
    </row>
    <row r="17">
      <c r="A17" s="32" t="inlineStr">
        <is>
          <t>If 2+ rounds of 8-week paper fail vs benchmark, accept evidence: switch to passive ETF SIP.</t>
        </is>
      </c>
    </row>
  </sheetData>
  <mergeCells count="5">
    <mergeCell ref="A16:E16"/>
    <mergeCell ref="A15:E15"/>
    <mergeCell ref="A1:E1"/>
    <mergeCell ref="A14:E14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2026-06-06T12:42:33Z</dcterms:created>
  <dcterms:modified xmlns:dcterms="http://purl.org/dc/terms/" xmlns:xsi="http://www.w3.org/2001/XMLSchema-instance" xsi:type="dcterms:W3CDTF">2026-06-06T12:42:33Z</dcterms:modified>
</cp:coreProperties>
</file>